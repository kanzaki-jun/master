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30" windowWidth="17910" windowHeight="8685" tabRatio="818"/>
  </bookViews>
  <sheets>
    <sheet name="エクセル勤怠" sheetId="108" r:id="rId1"/>
  </sheets>
  <definedNames>
    <definedName name="_xlnm.Print_Area" localSheetId="0">エクセル勤怠!$A$1:$AK$56</definedName>
  </definedNames>
  <calcPr calcId="145621"/>
</workbook>
</file>

<file path=xl/calcChain.xml><?xml version="1.0" encoding="utf-8"?>
<calcChain xmlns="http://schemas.openxmlformats.org/spreadsheetml/2006/main">
  <c r="F48" i="108" l="1"/>
  <c r="F47" i="108"/>
  <c r="F46" i="108"/>
  <c r="F45" i="108"/>
  <c r="F44" i="108"/>
  <c r="F43" i="108"/>
  <c r="F42" i="108"/>
  <c r="F41" i="108"/>
  <c r="F40" i="108"/>
  <c r="F39" i="108"/>
  <c r="F38" i="108"/>
  <c r="F37" i="108"/>
  <c r="F36" i="108"/>
  <c r="F35" i="108"/>
  <c r="F34" i="108"/>
  <c r="F33" i="108"/>
  <c r="F32" i="108"/>
  <c r="F31" i="108"/>
  <c r="F30" i="108"/>
  <c r="F29" i="108"/>
  <c r="F28" i="108"/>
  <c r="F27" i="108"/>
  <c r="F26" i="108"/>
  <c r="F25" i="108"/>
  <c r="F24" i="108"/>
  <c r="F23" i="108"/>
  <c r="F22" i="108"/>
  <c r="F21" i="108"/>
  <c r="F20" i="108"/>
  <c r="F19" i="108"/>
  <c r="F18" i="108"/>
  <c r="C18" i="108" l="1"/>
  <c r="C19" i="108"/>
  <c r="B19" i="108"/>
  <c r="C20" i="108" s="1"/>
  <c r="B20" i="108" l="1"/>
  <c r="B21" i="108" l="1"/>
  <c r="C21" i="108"/>
  <c r="B22" i="108" l="1"/>
  <c r="C22" i="108"/>
  <c r="B23" i="108" l="1"/>
  <c r="C23" i="108"/>
  <c r="B24" i="108" l="1"/>
  <c r="C24" i="108"/>
  <c r="B25" i="108" l="1"/>
  <c r="C25" i="108"/>
  <c r="B26" i="108" l="1"/>
  <c r="C26" i="108"/>
  <c r="B27" i="108" l="1"/>
  <c r="C27" i="108"/>
  <c r="B28" i="108" l="1"/>
  <c r="C28" i="108"/>
  <c r="B29" i="108" l="1"/>
  <c r="C29" i="108"/>
  <c r="B30" i="108" l="1"/>
  <c r="C30" i="108"/>
  <c r="B31" i="108" l="1"/>
  <c r="C31" i="108"/>
  <c r="B32" i="108" l="1"/>
  <c r="C32" i="108"/>
  <c r="B33" i="108" l="1"/>
  <c r="C33" i="108"/>
  <c r="B34" i="108" l="1"/>
  <c r="C34" i="108"/>
  <c r="B35" i="108" l="1"/>
  <c r="C35" i="108"/>
  <c r="B36" i="108" l="1"/>
  <c r="C36" i="108"/>
  <c r="B37" i="108" l="1"/>
  <c r="C37" i="108"/>
  <c r="B38" i="108" l="1"/>
  <c r="C38" i="108"/>
  <c r="B39" i="108" l="1"/>
  <c r="C39" i="108"/>
  <c r="B40" i="108" l="1"/>
  <c r="C40" i="108"/>
  <c r="B41" i="108" l="1"/>
  <c r="C41" i="108"/>
  <c r="B42" i="108" l="1"/>
  <c r="C42" i="108"/>
  <c r="B43" i="108" l="1"/>
  <c r="C43" i="108"/>
  <c r="B44" i="108" l="1"/>
  <c r="C44" i="108"/>
  <c r="B45" i="108" l="1"/>
  <c r="C45" i="108"/>
  <c r="B46" i="108" l="1"/>
  <c r="C46" i="108"/>
  <c r="B47" i="108" l="1"/>
  <c r="C47" i="108"/>
  <c r="B48" i="108" l="1"/>
  <c r="C48" i="108"/>
</calcChain>
</file>

<file path=xl/sharedStrings.xml><?xml version="1.0" encoding="utf-8"?>
<sst xmlns="http://schemas.openxmlformats.org/spreadsheetml/2006/main" count="74" uniqueCount="62">
  <si>
    <t>日</t>
    <rPh sb="0" eb="1">
      <t>ヒ</t>
    </rPh>
    <phoneticPr fontId="8"/>
  </si>
  <si>
    <t>曜日</t>
    <rPh sb="0" eb="2">
      <t>ヨウビ</t>
    </rPh>
    <phoneticPr fontId="8"/>
  </si>
  <si>
    <t>＜出勤区分＞</t>
    <rPh sb="1" eb="3">
      <t>シュッキン</t>
    </rPh>
    <rPh sb="3" eb="5">
      <t>クブン</t>
    </rPh>
    <phoneticPr fontId="8"/>
  </si>
  <si>
    <t xml:space="preserve"> </t>
    <phoneticPr fontId="7"/>
  </si>
  <si>
    <t>a</t>
    <phoneticPr fontId="7"/>
  </si>
  <si>
    <t>稼無</t>
    <rPh sb="0" eb="1">
      <t>カセギ</t>
    </rPh>
    <rPh sb="1" eb="2">
      <t>ナ</t>
    </rPh>
    <phoneticPr fontId="7"/>
  </si>
  <si>
    <t>出勤</t>
    <phoneticPr fontId="8"/>
  </si>
  <si>
    <t>欠勤</t>
    <phoneticPr fontId="8"/>
  </si>
  <si>
    <t>遅刻</t>
    <phoneticPr fontId="7"/>
  </si>
  <si>
    <t>早退</t>
    <phoneticPr fontId="7"/>
  </si>
  <si>
    <t>半休</t>
    <phoneticPr fontId="7"/>
  </si>
  <si>
    <t>休職</t>
    <phoneticPr fontId="7"/>
  </si>
  <si>
    <t>＜利用説明＞</t>
  </si>
  <si>
    <t>年</t>
    <rPh sb="0" eb="1">
      <t>ネン</t>
    </rPh>
    <phoneticPr fontId="7"/>
  </si>
  <si>
    <t>月</t>
    <rPh sb="0" eb="1">
      <t>ツキ</t>
    </rPh>
    <phoneticPr fontId="7"/>
  </si>
  <si>
    <t>-</t>
    <phoneticPr fontId="7"/>
  </si>
  <si>
    <t>A</t>
    <phoneticPr fontId="7"/>
  </si>
  <si>
    <t>月度</t>
    <rPh sb="0" eb="1">
      <t>ツキ</t>
    </rPh>
    <rPh sb="1" eb="2">
      <t>ド</t>
    </rPh>
    <phoneticPr fontId="7"/>
  </si>
  <si>
    <t>締日１</t>
    <rPh sb="0" eb="1">
      <t>シ</t>
    </rPh>
    <rPh sb="1" eb="2">
      <t>ビ</t>
    </rPh>
    <phoneticPr fontId="7"/>
  </si>
  <si>
    <t>締日２</t>
    <rPh sb="0" eb="1">
      <t>シ</t>
    </rPh>
    <rPh sb="1" eb="2">
      <t>ビ</t>
    </rPh>
    <phoneticPr fontId="7"/>
  </si>
  <si>
    <t>締日３</t>
    <rPh sb="0" eb="1">
      <t>シ</t>
    </rPh>
    <rPh sb="1" eb="2">
      <t>ビ</t>
    </rPh>
    <phoneticPr fontId="7"/>
  </si>
  <si>
    <t>就業先企業名/部署名</t>
    <rPh sb="0" eb="3">
      <t>シュウギョウサキ</t>
    </rPh>
    <rPh sb="3" eb="6">
      <t>キギョウメイ</t>
    </rPh>
    <rPh sb="7" eb="10">
      <t>ブショメイ</t>
    </rPh>
    <phoneticPr fontId="7"/>
  </si>
  <si>
    <t>E</t>
    <phoneticPr fontId="7"/>
  </si>
  <si>
    <t>法定休出</t>
    <rPh sb="0" eb="2">
      <t>ホウテイ</t>
    </rPh>
    <rPh sb="2" eb="4">
      <t>キュウシュツ</t>
    </rPh>
    <phoneticPr fontId="7"/>
  </si>
  <si>
    <t>法定外休出</t>
    <rPh sb="0" eb="2">
      <t>ホウテイ</t>
    </rPh>
    <rPh sb="2" eb="3">
      <t>ガイ</t>
    </rPh>
    <rPh sb="3" eb="5">
      <t>キュウシュツ</t>
    </rPh>
    <phoneticPr fontId="7"/>
  </si>
  <si>
    <t>特休（無給）</t>
  </si>
  <si>
    <t>特休（有給）</t>
  </si>
  <si>
    <t>始業
時刻</t>
    <rPh sb="0" eb="2">
      <t>シギョウ</t>
    </rPh>
    <rPh sb="3" eb="5">
      <t>ジコク</t>
    </rPh>
    <phoneticPr fontId="8"/>
  </si>
  <si>
    <t>終業
時刻</t>
    <rPh sb="0" eb="2">
      <t>シュウギョウ</t>
    </rPh>
    <rPh sb="3" eb="5">
      <t>ジコク</t>
    </rPh>
    <phoneticPr fontId="8"/>
  </si>
  <si>
    <t>深夜休憩時間
22時～
5時（翌日）</t>
    <rPh sb="0" eb="2">
      <t>シンヤ</t>
    </rPh>
    <rPh sb="2" eb="4">
      <t>キュウケイ</t>
    </rPh>
    <rPh sb="4" eb="6">
      <t>ジカン</t>
    </rPh>
    <rPh sb="9" eb="10">
      <t>ジ</t>
    </rPh>
    <rPh sb="13" eb="14">
      <t>ジ</t>
    </rPh>
    <rPh sb="15" eb="17">
      <t>ヨクジツ</t>
    </rPh>
    <phoneticPr fontId="8"/>
  </si>
  <si>
    <t>社員No.</t>
    <rPh sb="0" eb="2">
      <t>シャイン</t>
    </rPh>
    <phoneticPr fontId="7"/>
  </si>
  <si>
    <t>区分</t>
    <rPh sb="0" eb="2">
      <t>クブン</t>
    </rPh>
    <phoneticPr fontId="8"/>
  </si>
  <si>
    <t>有給</t>
    <rPh sb="0" eb="2">
      <t>ユウキュウ</t>
    </rPh>
    <phoneticPr fontId="8"/>
  </si>
  <si>
    <t>通常休憩
時間
5時～22時</t>
    <rPh sb="0" eb="2">
      <t>ツウジョウ</t>
    </rPh>
    <rPh sb="2" eb="4">
      <t>キュウケイ</t>
    </rPh>
    <rPh sb="5" eb="7">
      <t>ジカン</t>
    </rPh>
    <rPh sb="9" eb="10">
      <t>ジ</t>
    </rPh>
    <rPh sb="13" eb="14">
      <t>ジ</t>
    </rPh>
    <phoneticPr fontId="8"/>
  </si>
  <si>
    <t>氏名</t>
    <rPh sb="0" eb="2">
      <t>シメイ</t>
    </rPh>
    <phoneticPr fontId="7"/>
  </si>
  <si>
    <t>氏名カナ</t>
    <rPh sb="0" eb="2">
      <t>シメイ</t>
    </rPh>
    <phoneticPr fontId="7"/>
  </si>
  <si>
    <t>　　（勤務時間が連続して24時以降となる場合は、1:00、2:00・・・の表記となる）</t>
    <phoneticPr fontId="7"/>
  </si>
  <si>
    <t>　・休憩時間は、残業前休憩の時間も足して記入してください。</t>
    <rPh sb="2" eb="4">
      <t>キュウケイ</t>
    </rPh>
    <rPh sb="4" eb="6">
      <t>ジカン</t>
    </rPh>
    <rPh sb="8" eb="10">
      <t>ザンギョウ</t>
    </rPh>
    <rPh sb="10" eb="11">
      <t>マエ</t>
    </rPh>
    <rPh sb="11" eb="13">
      <t>キュウケイ</t>
    </rPh>
    <rPh sb="14" eb="16">
      <t>ジカン</t>
    </rPh>
    <rPh sb="17" eb="18">
      <t>タ</t>
    </rPh>
    <rPh sb="20" eb="22">
      <t>キニュウ</t>
    </rPh>
    <phoneticPr fontId="7"/>
  </si>
  <si>
    <t>受注No - 枝番＋引当番号</t>
    <rPh sb="0" eb="2">
      <t>ジュチュウ</t>
    </rPh>
    <rPh sb="7" eb="9">
      <t>エダバン</t>
    </rPh>
    <rPh sb="10" eb="12">
      <t>ヒキアテ</t>
    </rPh>
    <rPh sb="12" eb="14">
      <t>バンゴウ</t>
    </rPh>
    <phoneticPr fontId="7"/>
  </si>
  <si>
    <t>※派遣契約の場合、枝番は記入無し。請負の枝番と引当番号は続けて記入して下さい。</t>
    <rPh sb="1" eb="3">
      <t>ハケン</t>
    </rPh>
    <rPh sb="3" eb="5">
      <t>ケイヤク</t>
    </rPh>
    <rPh sb="6" eb="8">
      <t>バアイ</t>
    </rPh>
    <rPh sb="9" eb="11">
      <t>エダバン</t>
    </rPh>
    <rPh sb="12" eb="14">
      <t>キニュウ</t>
    </rPh>
    <rPh sb="14" eb="15">
      <t>ナ</t>
    </rPh>
    <rPh sb="17" eb="19">
      <t>ウケオイ</t>
    </rPh>
    <rPh sb="20" eb="22">
      <t>エダバン</t>
    </rPh>
    <rPh sb="23" eb="25">
      <t>ヒキアテ</t>
    </rPh>
    <rPh sb="25" eb="27">
      <t>バンゴウ</t>
    </rPh>
    <rPh sb="28" eb="29">
      <t>ツヅ</t>
    </rPh>
    <rPh sb="31" eb="33">
      <t>キニュウ</t>
    </rPh>
    <rPh sb="35" eb="36">
      <t>クダ</t>
    </rPh>
    <phoneticPr fontId="7"/>
  </si>
  <si>
    <t>タイムシート</t>
    <phoneticPr fontId="7"/>
  </si>
  <si>
    <t>就業先ご担当者様 確認印</t>
    <rPh sb="0" eb="3">
      <t>シュウギョウサキ</t>
    </rPh>
    <rPh sb="4" eb="7">
      <t>タントウシャ</t>
    </rPh>
    <rPh sb="7" eb="8">
      <t>サマ</t>
    </rPh>
    <rPh sb="9" eb="11">
      <t>カクニン</t>
    </rPh>
    <rPh sb="11" eb="12">
      <t>イン</t>
    </rPh>
    <phoneticPr fontId="7"/>
  </si>
  <si>
    <t>　・時間は00:00～23:59の表記法でご記入下さい。</t>
    <phoneticPr fontId="7"/>
  </si>
  <si>
    <t>業務内容</t>
    <rPh sb="0" eb="2">
      <t>ギョウム</t>
    </rPh>
    <rPh sb="2" eb="4">
      <t>ナイヨウ</t>
    </rPh>
    <phoneticPr fontId="7"/>
  </si>
  <si>
    <t>就業先住所</t>
    <rPh sb="0" eb="2">
      <t>シュウギョウ</t>
    </rPh>
    <rPh sb="2" eb="3">
      <t>サキ</t>
    </rPh>
    <rPh sb="3" eb="5">
      <t>ジュウショ</t>
    </rPh>
    <phoneticPr fontId="7"/>
  </si>
  <si>
    <t>組織単位(組織名/組織の長の役職名)</t>
    <rPh sb="0" eb="2">
      <t>ソシキ</t>
    </rPh>
    <rPh sb="2" eb="4">
      <t>タンイ</t>
    </rPh>
    <rPh sb="5" eb="8">
      <t>ソシキメイ</t>
    </rPh>
    <rPh sb="9" eb="11">
      <t>ソシキ</t>
    </rPh>
    <rPh sb="12" eb="13">
      <t>チョウ</t>
    </rPh>
    <rPh sb="14" eb="16">
      <t>ヤクショク</t>
    </rPh>
    <rPh sb="16" eb="17">
      <t>メイ</t>
    </rPh>
    <phoneticPr fontId="7"/>
  </si>
  <si>
    <t>備考(変更した就業場所・業務内容、その他)</t>
    <rPh sb="0" eb="2">
      <t>ビコウ</t>
    </rPh>
    <rPh sb="3" eb="5">
      <t>ヘンコウ</t>
    </rPh>
    <rPh sb="7" eb="9">
      <t>シュウギョウ</t>
    </rPh>
    <rPh sb="9" eb="11">
      <t>バショ</t>
    </rPh>
    <rPh sb="12" eb="14">
      <t>ギョウム</t>
    </rPh>
    <rPh sb="14" eb="16">
      <t>ナイヨウ</t>
    </rPh>
    <rPh sb="19" eb="20">
      <t>タ</t>
    </rPh>
    <phoneticPr fontId="8"/>
  </si>
  <si>
    <t>(株)ビーネックステクノロジーズ</t>
    <rPh sb="0" eb="3">
      <t>カブ</t>
    </rPh>
    <phoneticPr fontId="7"/>
  </si>
  <si>
    <t>Ver.1.5</t>
    <phoneticPr fontId="7"/>
  </si>
  <si>
    <t>区分) 0:稼無, 1:出勤, 2:欠勤, 3:有給, 4:遅刻, 5:早退, 6:半休, 7:法定外休出, 8:法定休出, 9:特別休暇（無給）, A:休職, E:特別休暇（有給）,K:派遣先休暇指示</t>
    <rPh sb="0" eb="2">
      <t>クブン</t>
    </rPh>
    <rPh sb="48" eb="50">
      <t>ホウテイ</t>
    </rPh>
    <rPh sb="50" eb="51">
      <t>ガイ</t>
    </rPh>
    <rPh sb="57" eb="59">
      <t>ホウテイ</t>
    </rPh>
    <rPh sb="59" eb="61">
      <t>キュウシュツ</t>
    </rPh>
    <rPh sb="65" eb="67">
      <t>トクベツ</t>
    </rPh>
    <rPh sb="67" eb="69">
      <t>キュウカ</t>
    </rPh>
    <rPh sb="70" eb="72">
      <t>ムキュウ</t>
    </rPh>
    <rPh sb="83" eb="85">
      <t>トクベツ</t>
    </rPh>
    <rPh sb="85" eb="87">
      <t>キュウカ</t>
    </rPh>
    <rPh sb="88" eb="90">
      <t>ユウキュウ</t>
    </rPh>
    <phoneticPr fontId="8"/>
  </si>
  <si>
    <t>K</t>
    <phoneticPr fontId="7"/>
  </si>
  <si>
    <t>派先休暇指示</t>
    <rPh sb="4" eb="6">
      <t>シジ</t>
    </rPh>
    <phoneticPr fontId="7"/>
  </si>
  <si>
    <t>00201087</t>
    <phoneticPr fontId="7"/>
  </si>
  <si>
    <t>神崎　淳</t>
    <rPh sb="0" eb="2">
      <t>カンザキ</t>
    </rPh>
    <rPh sb="3" eb="4">
      <t>ジュン</t>
    </rPh>
    <phoneticPr fontId="7"/>
  </si>
  <si>
    <t>カンザキ　ジュン</t>
    <phoneticPr fontId="7"/>
  </si>
  <si>
    <t>0102800056</t>
    <phoneticPr fontId="7"/>
  </si>
  <si>
    <t>日新電機株式会社 本社</t>
    <phoneticPr fontId="7"/>
  </si>
  <si>
    <t>京都府京都市右京区梅津高畝町47</t>
    <phoneticPr fontId="7"/>
  </si>
  <si>
    <t>システム装置事業部 生産設計部 CAD開発グループ</t>
    <phoneticPr fontId="7"/>
  </si>
  <si>
    <t>システムの開発
上記に付随する業務</t>
    <phoneticPr fontId="7"/>
  </si>
  <si>
    <t>在宅勤務</t>
    <rPh sb="0" eb="2">
      <t>ザイタク</t>
    </rPh>
    <rPh sb="2" eb="4">
      <t>キンム</t>
    </rPh>
    <phoneticPr fontId="7"/>
  </si>
  <si>
    <t>8：20～11:00 在宅勤務 11:00より出勤</t>
    <rPh sb="11" eb="13">
      <t>ザイタク</t>
    </rPh>
    <rPh sb="13" eb="15">
      <t>キンム</t>
    </rPh>
    <rPh sb="23" eb="25">
      <t>シュッキン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</si>
</sst>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&quot;:&quot;00"/>
    <numFmt numFmtId="177" formatCode="0#"/>
  </numFmts>
  <fonts count="20" x14ac:knownFonts="1"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  <scheme val="major"/>
    </font>
    <font>
      <b/>
      <sz val="10"/>
      <color theme="1"/>
      <name val="ＭＳ Ｐゴシック"/>
      <family val="3"/>
      <charset val="128"/>
      <scheme val="major"/>
    </font>
    <font>
      <b/>
      <sz val="9"/>
      <color theme="1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8"/>
      <color theme="1"/>
      <name val="ＭＳ Ｐゴシック"/>
      <family val="3"/>
      <charset val="128"/>
      <scheme val="major"/>
    </font>
    <font>
      <sz val="9"/>
      <color theme="0"/>
      <name val="ＭＳ Ｐゴシック"/>
      <family val="3"/>
      <charset val="128"/>
      <scheme val="major"/>
    </font>
    <font>
      <sz val="8"/>
      <color theme="0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8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5" fillId="0" borderId="0" applyBorder="0"/>
    <xf numFmtId="0" fontId="5" fillId="0" borderId="0"/>
    <xf numFmtId="0" fontId="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/>
    <xf numFmtId="38" fontId="6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center"/>
    </xf>
    <xf numFmtId="0" fontId="9" fillId="0" borderId="0" xfId="8" applyFont="1">
      <alignment vertical="center"/>
    </xf>
    <xf numFmtId="0" fontId="9" fillId="0" borderId="0" xfId="8" applyFont="1" applyAlignment="1">
      <alignment horizontal="right" vertical="center"/>
    </xf>
    <xf numFmtId="0" fontId="10" fillId="0" borderId="0" xfId="8" applyFont="1">
      <alignment vertical="center"/>
    </xf>
    <xf numFmtId="0" fontId="11" fillId="0" borderId="0" xfId="8" applyFont="1">
      <alignment vertical="center"/>
    </xf>
    <xf numFmtId="0" fontId="9" fillId="0" borderId="0" xfId="8" applyFont="1" applyFill="1" applyBorder="1">
      <alignment vertical="center"/>
    </xf>
    <xf numFmtId="0" fontId="13" fillId="0" borderId="0" xfId="8" applyFont="1" applyFill="1" applyBorder="1" applyAlignment="1">
      <alignment vertical="center"/>
    </xf>
    <xf numFmtId="0" fontId="9" fillId="0" borderId="0" xfId="8" applyFont="1" applyFill="1" applyBorder="1" applyAlignment="1">
      <alignment horizontal="right" vertical="center"/>
    </xf>
    <xf numFmtId="0" fontId="11" fillId="0" borderId="0" xfId="8" applyFont="1" applyBorder="1">
      <alignment vertical="center"/>
    </xf>
    <xf numFmtId="49" fontId="11" fillId="0" borderId="0" xfId="8" applyNumberFormat="1" applyFont="1">
      <alignment vertical="center"/>
    </xf>
    <xf numFmtId="0" fontId="9" fillId="0" borderId="0" xfId="8" applyFont="1" applyBorder="1">
      <alignment vertical="center"/>
    </xf>
    <xf numFmtId="0" fontId="16" fillId="0" borderId="0" xfId="8" applyFont="1">
      <alignment vertical="center"/>
    </xf>
    <xf numFmtId="0" fontId="17" fillId="0" borderId="0" xfId="4" applyFont="1" applyBorder="1" applyAlignment="1">
      <alignment vertical="center"/>
    </xf>
    <xf numFmtId="0" fontId="17" fillId="0" borderId="0" xfId="4" applyFont="1" applyBorder="1">
      <alignment vertical="center"/>
    </xf>
    <xf numFmtId="0" fontId="11" fillId="0" borderId="6" xfId="8" applyFont="1" applyBorder="1" applyAlignment="1">
      <alignment vertical="center"/>
    </xf>
    <xf numFmtId="0" fontId="17" fillId="0" borderId="0" xfId="4" applyFont="1" applyBorder="1" applyAlignment="1"/>
    <xf numFmtId="0" fontId="14" fillId="0" borderId="32" xfId="4" applyFont="1" applyBorder="1" applyAlignment="1">
      <alignment horizontal="center" vertical="center"/>
    </xf>
    <xf numFmtId="0" fontId="16" fillId="0" borderId="0" xfId="4" applyFont="1" applyBorder="1" applyAlignment="1">
      <alignment vertical="center"/>
    </xf>
    <xf numFmtId="0" fontId="16" fillId="0" borderId="0" xfId="8" applyFont="1" applyAlignment="1">
      <alignment vertical="center"/>
    </xf>
    <xf numFmtId="0" fontId="17" fillId="0" borderId="0" xfId="4" applyFont="1" applyFill="1" applyBorder="1" applyAlignment="1">
      <alignment vertical="center"/>
    </xf>
    <xf numFmtId="0" fontId="17" fillId="0" borderId="0" xfId="4" applyFont="1" applyFill="1" applyBorder="1" applyAlignment="1">
      <alignment horizontal="center" vertical="center"/>
    </xf>
    <xf numFmtId="0" fontId="17" fillId="0" borderId="0" xfId="4" applyFont="1" applyBorder="1" applyAlignment="1">
      <alignment horizontal="center" vertical="center"/>
    </xf>
    <xf numFmtId="0" fontId="14" fillId="0" borderId="31" xfId="4" applyNumberFormat="1" applyFont="1" applyBorder="1" applyAlignment="1" applyProtection="1">
      <alignment horizontal="center" vertical="center"/>
    </xf>
    <xf numFmtId="0" fontId="19" fillId="2" borderId="26" xfId="4" applyFont="1" applyFill="1" applyBorder="1" applyAlignment="1" applyProtection="1">
      <alignment horizontal="center" vertical="center"/>
      <protection locked="0"/>
    </xf>
    <xf numFmtId="0" fontId="16" fillId="0" borderId="0" xfId="4" applyFont="1" applyFill="1" applyBorder="1" applyAlignment="1">
      <alignment horizontal="center" vertical="center"/>
    </xf>
    <xf numFmtId="0" fontId="16" fillId="0" borderId="0" xfId="4" applyFont="1" applyFill="1" applyBorder="1" applyAlignment="1">
      <alignment horizontal="left" vertical="center"/>
    </xf>
    <xf numFmtId="0" fontId="14" fillId="0" borderId="30" xfId="4" applyFont="1" applyBorder="1" applyAlignment="1">
      <alignment horizontal="center" vertical="center"/>
    </xf>
    <xf numFmtId="0" fontId="19" fillId="2" borderId="18" xfId="4" applyFont="1" applyFill="1" applyBorder="1" applyAlignment="1" applyProtection="1">
      <alignment horizontal="center" vertical="center"/>
      <protection locked="0"/>
    </xf>
    <xf numFmtId="0" fontId="16" fillId="0" borderId="0" xfId="8" applyFont="1" applyAlignment="1">
      <alignment horizontal="center" vertical="center"/>
    </xf>
    <xf numFmtId="0" fontId="14" fillId="0" borderId="29" xfId="4" applyFont="1" applyBorder="1" applyAlignment="1">
      <alignment horizontal="center" vertical="center"/>
    </xf>
    <xf numFmtId="0" fontId="19" fillId="2" borderId="22" xfId="4" applyFont="1" applyFill="1" applyBorder="1" applyAlignment="1" applyProtection="1">
      <alignment horizontal="center" vertical="center"/>
      <protection locked="0"/>
    </xf>
    <xf numFmtId="0" fontId="19" fillId="0" borderId="0" xfId="4" applyFont="1" applyBorder="1" applyAlignment="1"/>
    <xf numFmtId="0" fontId="19" fillId="0" borderId="0" xfId="4" applyFont="1" applyBorder="1" applyAlignment="1">
      <alignment vertical="center"/>
    </xf>
    <xf numFmtId="0" fontId="19" fillId="0" borderId="0" xfId="4" applyFont="1" applyBorder="1">
      <alignment vertical="center"/>
    </xf>
    <xf numFmtId="0" fontId="19" fillId="0" borderId="10" xfId="4" applyFont="1" applyBorder="1" applyAlignment="1">
      <alignment horizontal="left" vertical="center"/>
    </xf>
    <xf numFmtId="0" fontId="19" fillId="0" borderId="11" xfId="4" applyFont="1" applyBorder="1">
      <alignment vertical="center"/>
    </xf>
    <xf numFmtId="0" fontId="19" fillId="0" borderId="11" xfId="4" applyFont="1" applyBorder="1" applyAlignment="1">
      <alignment vertical="center"/>
    </xf>
    <xf numFmtId="0" fontId="19" fillId="0" borderId="11" xfId="4" applyFont="1" applyBorder="1" applyAlignment="1">
      <alignment vertical="center" wrapText="1"/>
    </xf>
    <xf numFmtId="0" fontId="19" fillId="0" borderId="12" xfId="4" applyFont="1" applyBorder="1" applyAlignment="1">
      <alignment vertical="center"/>
    </xf>
    <xf numFmtId="0" fontId="14" fillId="0" borderId="13" xfId="4" applyFont="1" applyBorder="1" applyAlignment="1">
      <alignment horizontal="left" vertical="center"/>
    </xf>
    <xf numFmtId="0" fontId="19" fillId="0" borderId="0" xfId="4" applyFont="1" applyBorder="1" applyAlignment="1">
      <alignment vertical="center" wrapText="1"/>
    </xf>
    <xf numFmtId="0" fontId="19" fillId="0" borderId="14" xfId="4" applyFont="1" applyBorder="1" applyAlignment="1">
      <alignment vertical="center"/>
    </xf>
    <xf numFmtId="0" fontId="19" fillId="0" borderId="0" xfId="4" applyFont="1" applyBorder="1" applyAlignment="1">
      <alignment horizontal="left" vertical="center"/>
    </xf>
    <xf numFmtId="0" fontId="19" fillId="0" borderId="14" xfId="4" applyFont="1" applyBorder="1" applyAlignment="1">
      <alignment horizontal="left" vertical="center"/>
    </xf>
    <xf numFmtId="0" fontId="19" fillId="0" borderId="15" xfId="4" applyFont="1" applyBorder="1" applyAlignment="1">
      <alignment horizontal="left" vertical="center"/>
    </xf>
    <xf numFmtId="0" fontId="19" fillId="0" borderId="16" xfId="4" applyFont="1" applyBorder="1" applyAlignment="1">
      <alignment horizontal="left" vertical="center"/>
    </xf>
    <xf numFmtId="0" fontId="19" fillId="0" borderId="17" xfId="4" applyFont="1" applyBorder="1" applyAlignment="1">
      <alignment horizontal="left" vertical="center"/>
    </xf>
    <xf numFmtId="0" fontId="14" fillId="0" borderId="0" xfId="4" applyFont="1" applyFill="1" applyBorder="1" applyAlignment="1">
      <alignment horizontal="left" vertical="center"/>
    </xf>
    <xf numFmtId="0" fontId="14" fillId="0" borderId="0" xfId="4" applyFont="1" applyFill="1" applyBorder="1" applyAlignment="1">
      <alignment vertical="center"/>
    </xf>
    <xf numFmtId="0" fontId="14" fillId="0" borderId="0" xfId="4" applyFont="1" applyBorder="1" applyAlignment="1">
      <alignment vertical="center"/>
    </xf>
    <xf numFmtId="0" fontId="19" fillId="0" borderId="0" xfId="4" applyFont="1" applyFill="1" applyBorder="1" applyAlignment="1">
      <alignment horizontal="center" vertical="center"/>
    </xf>
    <xf numFmtId="0" fontId="19" fillId="0" borderId="0" xfId="4" applyFont="1" applyFill="1" applyBorder="1" applyAlignment="1">
      <alignment horizontal="left" vertical="center"/>
    </xf>
    <xf numFmtId="0" fontId="19" fillId="0" borderId="0" xfId="4" applyFont="1" applyFill="1" applyBorder="1" applyAlignment="1">
      <alignment vertical="center"/>
    </xf>
    <xf numFmtId="0" fontId="15" fillId="0" borderId="0" xfId="8" applyFont="1" applyAlignment="1"/>
    <xf numFmtId="0" fontId="18" fillId="0" borderId="0" xfId="8" applyFont="1">
      <alignment vertical="center"/>
    </xf>
    <xf numFmtId="0" fontId="9" fillId="0" borderId="0" xfId="8" applyFont="1" applyFill="1" applyBorder="1" applyProtection="1">
      <alignment vertical="center"/>
      <protection locked="0"/>
    </xf>
    <xf numFmtId="0" fontId="9" fillId="0" borderId="0" xfId="8" applyFont="1" applyFill="1" applyBorder="1" applyAlignment="1" applyProtection="1">
      <alignment vertical="center"/>
      <protection locked="0"/>
    </xf>
    <xf numFmtId="0" fontId="11" fillId="0" borderId="0" xfId="8" applyFont="1" applyAlignment="1" applyProtection="1">
      <alignment vertical="center"/>
      <protection locked="0"/>
    </xf>
    <xf numFmtId="49" fontId="9" fillId="0" borderId="0" xfId="8" applyNumberFormat="1" applyFont="1" applyFill="1" applyBorder="1" applyAlignment="1" applyProtection="1">
      <alignment vertical="center"/>
      <protection locked="0"/>
    </xf>
    <xf numFmtId="49" fontId="9" fillId="0" borderId="6" xfId="8" applyNumberFormat="1" applyFont="1" applyFill="1" applyBorder="1" applyAlignment="1" applyProtection="1">
      <alignment horizontal="center" vertical="center"/>
      <protection locked="0"/>
    </xf>
    <xf numFmtId="0" fontId="9" fillId="0" borderId="0" xfId="8" applyFont="1" applyProtection="1">
      <alignment vertical="center"/>
      <protection locked="0"/>
    </xf>
    <xf numFmtId="0" fontId="9" fillId="0" borderId="0" xfId="8" applyFont="1" applyBorder="1" applyProtection="1">
      <alignment vertical="center"/>
      <protection locked="0"/>
    </xf>
    <xf numFmtId="0" fontId="14" fillId="0" borderId="6" xfId="8" applyFont="1" applyFill="1" applyBorder="1" applyAlignment="1" applyProtection="1">
      <alignment vertical="center"/>
    </xf>
    <xf numFmtId="0" fontId="9" fillId="0" borderId="6" xfId="8" applyFont="1" applyFill="1" applyBorder="1" applyAlignment="1" applyProtection="1">
      <alignment vertical="center"/>
    </xf>
    <xf numFmtId="0" fontId="11" fillId="0" borderId="8" xfId="8" applyFont="1" applyBorder="1" applyProtection="1">
      <alignment vertical="center"/>
      <protection locked="0"/>
    </xf>
    <xf numFmtId="0" fontId="11" fillId="0" borderId="2" xfId="8" applyFont="1" applyBorder="1" applyProtection="1">
      <alignment vertical="center"/>
      <protection locked="0"/>
    </xf>
    <xf numFmtId="0" fontId="11" fillId="0" borderId="4" xfId="8" applyFont="1" applyBorder="1" applyProtection="1">
      <alignment vertical="center"/>
      <protection locked="0"/>
    </xf>
    <xf numFmtId="0" fontId="11" fillId="0" borderId="3" xfId="8" applyFont="1" applyBorder="1" applyProtection="1">
      <alignment vertical="center"/>
      <protection locked="0"/>
    </xf>
    <xf numFmtId="0" fontId="11" fillId="0" borderId="0" xfId="8" applyFont="1" applyBorder="1" applyProtection="1">
      <alignment vertical="center"/>
      <protection locked="0"/>
    </xf>
    <xf numFmtId="0" fontId="11" fillId="0" borderId="5" xfId="8" applyFont="1" applyBorder="1" applyProtection="1">
      <alignment vertical="center"/>
      <protection locked="0"/>
    </xf>
    <xf numFmtId="0" fontId="11" fillId="0" borderId="1" xfId="8" applyFont="1" applyBorder="1" applyProtection="1">
      <alignment vertical="center"/>
      <protection locked="0"/>
    </xf>
    <xf numFmtId="0" fontId="11" fillId="0" borderId="6" xfId="8" applyFont="1" applyBorder="1" applyProtection="1">
      <alignment vertical="center"/>
      <protection locked="0"/>
    </xf>
    <xf numFmtId="0" fontId="11" fillId="0" borderId="7" xfId="8" applyFont="1" applyBorder="1" applyProtection="1">
      <alignment vertical="center"/>
      <protection locked="0"/>
    </xf>
    <xf numFmtId="0" fontId="15" fillId="0" borderId="9" xfId="8" applyFont="1" applyBorder="1" applyAlignment="1" applyProtection="1">
      <alignment horizontal="center" vertical="center"/>
      <protection locked="0"/>
    </xf>
    <xf numFmtId="0" fontId="14" fillId="0" borderId="32" xfId="4" applyFont="1" applyBorder="1" applyAlignment="1" applyProtection="1">
      <alignment horizontal="center" vertical="center"/>
      <protection locked="0"/>
    </xf>
    <xf numFmtId="0" fontId="14" fillId="0" borderId="33" xfId="4" applyFont="1" applyBorder="1" applyAlignment="1" applyProtection="1">
      <alignment horizontal="center" vertical="center"/>
      <protection locked="0"/>
    </xf>
    <xf numFmtId="0" fontId="14" fillId="0" borderId="34" xfId="4" applyFont="1" applyBorder="1" applyAlignment="1" applyProtection="1">
      <alignment horizontal="center" vertical="center"/>
      <protection locked="0"/>
    </xf>
    <xf numFmtId="177" fontId="9" fillId="2" borderId="6" xfId="8" applyNumberFormat="1" applyFont="1" applyFill="1" applyBorder="1" applyAlignment="1" applyProtection="1">
      <alignment horizontal="center" vertical="center"/>
    </xf>
    <xf numFmtId="0" fontId="9" fillId="0" borderId="33" xfId="8" applyFont="1" applyFill="1" applyBorder="1" applyAlignment="1" applyProtection="1">
      <alignment vertical="center"/>
      <protection locked="0"/>
    </xf>
    <xf numFmtId="0" fontId="15" fillId="0" borderId="6" xfId="8" applyFont="1" applyFill="1" applyBorder="1" applyAlignment="1" applyProtection="1">
      <alignment vertical="center"/>
      <protection locked="0"/>
    </xf>
    <xf numFmtId="0" fontId="9" fillId="0" borderId="6" xfId="8" applyFont="1" applyFill="1" applyBorder="1" applyAlignment="1" applyProtection="1">
      <alignment vertical="center"/>
      <protection locked="0"/>
    </xf>
    <xf numFmtId="49" fontId="9" fillId="2" borderId="6" xfId="8" applyNumberFormat="1" applyFont="1" applyFill="1" applyBorder="1" applyAlignment="1" applyProtection="1">
      <alignment horizontal="center" vertical="center"/>
      <protection locked="0"/>
    </xf>
    <xf numFmtId="0" fontId="14" fillId="2" borderId="6" xfId="8" applyNumberFormat="1" applyFont="1" applyFill="1" applyBorder="1" applyAlignment="1" applyProtection="1">
      <alignment horizontal="center" vertical="center"/>
    </xf>
    <xf numFmtId="0" fontId="9" fillId="0" borderId="6" xfId="8" applyFont="1" applyBorder="1" applyAlignment="1" applyProtection="1">
      <alignment vertical="center"/>
      <protection locked="0"/>
    </xf>
    <xf numFmtId="49" fontId="9" fillId="2" borderId="6" xfId="8" applyNumberFormat="1" applyFont="1" applyFill="1" applyBorder="1" applyAlignment="1" applyProtection="1">
      <alignment vertical="center"/>
      <protection locked="0"/>
    </xf>
    <xf numFmtId="176" fontId="18" fillId="2" borderId="18" xfId="4" applyNumberFormat="1" applyFont="1" applyFill="1" applyBorder="1" applyAlignment="1" applyProtection="1">
      <alignment horizontal="center" vertical="center"/>
      <protection locked="0"/>
    </xf>
    <xf numFmtId="0" fontId="14" fillId="0" borderId="18" xfId="4" applyNumberFormat="1" applyFont="1" applyBorder="1" applyAlignment="1" applyProtection="1">
      <alignment horizontal="left" vertical="top" wrapText="1"/>
      <protection locked="0"/>
    </xf>
    <xf numFmtId="0" fontId="14" fillId="0" borderId="21" xfId="4" applyNumberFormat="1" applyFont="1" applyBorder="1" applyAlignment="1" applyProtection="1">
      <alignment horizontal="left" vertical="top" wrapText="1"/>
      <protection locked="0"/>
    </xf>
    <xf numFmtId="0" fontId="14" fillId="0" borderId="22" xfId="4" applyFont="1" applyBorder="1" applyAlignment="1" applyProtection="1">
      <alignment horizontal="center" vertical="center" shrinkToFit="1"/>
    </xf>
    <xf numFmtId="0" fontId="19" fillId="0" borderId="23" xfId="4" applyFont="1" applyBorder="1" applyAlignment="1">
      <alignment horizontal="center" vertical="center"/>
    </xf>
    <xf numFmtId="0" fontId="19" fillId="0" borderId="24" xfId="4" applyFont="1" applyBorder="1" applyAlignment="1">
      <alignment horizontal="center" vertical="center"/>
    </xf>
    <xf numFmtId="176" fontId="18" fillId="2" borderId="22" xfId="4" applyNumberFormat="1" applyFont="1" applyFill="1" applyBorder="1" applyAlignment="1" applyProtection="1">
      <alignment horizontal="center" vertical="center"/>
      <protection locked="0"/>
    </xf>
    <xf numFmtId="0" fontId="9" fillId="0" borderId="33" xfId="8" applyFont="1" applyBorder="1" applyAlignment="1" applyProtection="1">
      <alignment vertical="center"/>
      <protection locked="0"/>
    </xf>
    <xf numFmtId="0" fontId="14" fillId="0" borderId="22" xfId="4" applyNumberFormat="1" applyFont="1" applyBorder="1" applyAlignment="1" applyProtection="1">
      <alignment horizontal="left" vertical="top" wrapText="1"/>
      <protection locked="0"/>
    </xf>
    <xf numFmtId="0" fontId="14" fillId="0" borderId="25" xfId="4" applyNumberFormat="1" applyFont="1" applyBorder="1" applyAlignment="1" applyProtection="1">
      <alignment horizontal="left" vertical="top" wrapText="1"/>
      <protection locked="0"/>
    </xf>
    <xf numFmtId="0" fontId="14" fillId="0" borderId="26" xfId="4" applyFont="1" applyBorder="1" applyAlignment="1" applyProtection="1">
      <alignment horizontal="center" vertical="center" shrinkToFit="1"/>
    </xf>
    <xf numFmtId="0" fontId="19" fillId="0" borderId="19" xfId="4" applyFont="1" applyBorder="1" applyAlignment="1">
      <alignment horizontal="center" vertical="center"/>
    </xf>
    <xf numFmtId="0" fontId="19" fillId="0" borderId="20" xfId="4" applyFont="1" applyBorder="1" applyAlignment="1">
      <alignment horizontal="center" vertical="center"/>
    </xf>
    <xf numFmtId="0" fontId="15" fillId="2" borderId="6" xfId="8" applyFont="1" applyFill="1" applyBorder="1" applyAlignment="1" applyProtection="1">
      <alignment vertical="center" wrapText="1"/>
      <protection locked="0"/>
    </xf>
    <xf numFmtId="49" fontId="15" fillId="2" borderId="33" xfId="8" applyNumberFormat="1" applyFont="1" applyFill="1" applyBorder="1" applyAlignment="1" applyProtection="1">
      <alignment vertical="center" wrapText="1"/>
      <protection locked="0"/>
    </xf>
    <xf numFmtId="0" fontId="15" fillId="0" borderId="33" xfId="8" applyFont="1" applyBorder="1" applyAlignment="1" applyProtection="1">
      <alignment vertical="center" wrapText="1"/>
      <protection locked="0"/>
    </xf>
    <xf numFmtId="0" fontId="12" fillId="0" borderId="0" xfId="8" applyFont="1" applyFill="1" applyBorder="1" applyAlignment="1">
      <alignment horizontal="center" vertical="center"/>
    </xf>
    <xf numFmtId="0" fontId="14" fillId="0" borderId="27" xfId="4" applyFont="1" applyBorder="1" applyAlignment="1">
      <alignment horizontal="center" vertical="center" wrapText="1"/>
    </xf>
    <xf numFmtId="0" fontId="14" fillId="0" borderId="27" xfId="4" applyFont="1" applyBorder="1" applyAlignment="1">
      <alignment horizontal="center" vertical="center"/>
    </xf>
    <xf numFmtId="0" fontId="18" fillId="0" borderId="27" xfId="4" applyFont="1" applyBorder="1" applyAlignment="1">
      <alignment horizontal="center" vertical="center"/>
    </xf>
    <xf numFmtId="0" fontId="19" fillId="0" borderId="27" xfId="4" applyFont="1" applyBorder="1" applyAlignment="1">
      <alignment horizontal="center" vertical="center" wrapText="1"/>
    </xf>
    <xf numFmtId="0" fontId="19" fillId="0" borderId="27" xfId="4" applyFont="1" applyBorder="1" applyAlignment="1">
      <alignment horizontal="center" vertical="center"/>
    </xf>
    <xf numFmtId="0" fontId="14" fillId="0" borderId="28" xfId="4" applyFont="1" applyBorder="1" applyAlignment="1">
      <alignment horizontal="center" vertical="center" wrapText="1"/>
    </xf>
    <xf numFmtId="176" fontId="18" fillId="2" borderId="26" xfId="4" applyNumberFormat="1" applyFont="1" applyFill="1" applyBorder="1" applyAlignment="1" applyProtection="1">
      <alignment horizontal="center" vertical="center"/>
      <protection locked="0"/>
    </xf>
  </cellXfs>
  <cellStyles count="10">
    <cellStyle name="IBM(401K)" xfId="1"/>
    <cellStyle name="J401K" xfId="2"/>
    <cellStyle name="桁区切り 2" xfId="7"/>
    <cellStyle name="標準" xfId="0" builtinId="0"/>
    <cellStyle name="標準 2" xfId="3"/>
    <cellStyle name="標準 3" xfId="4"/>
    <cellStyle name="標準 4" xfId="5"/>
    <cellStyle name="標準 5" xfId="6"/>
    <cellStyle name="標準 6" xfId="8"/>
    <cellStyle name="標準 6 2" xfId="9"/>
  </cellStyles>
  <dxfs count="0"/>
  <tableStyles count="0" defaultTableStyle="TableStyleMedium9" defaultPivotStyle="PivotStyleLight16"/>
  <colors>
    <mruColors>
      <color rgb="FFFFFF99"/>
      <color rgb="FFCCFFFF"/>
      <color rgb="FF99CCFF"/>
      <color rgb="FFD6F4F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164274</xdr:colOff>
      <xdr:row>52</xdr:row>
      <xdr:rowOff>154749</xdr:rowOff>
    </xdr:from>
    <xdr:to>
      <xdr:col>28</xdr:col>
      <xdr:colOff>16700</xdr:colOff>
      <xdr:row>55</xdr:row>
      <xdr:rowOff>35750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5799" y="10117899"/>
          <a:ext cx="395351" cy="39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176974</xdr:colOff>
      <xdr:row>52</xdr:row>
      <xdr:rowOff>164274</xdr:rowOff>
    </xdr:from>
    <xdr:to>
      <xdr:col>32</xdr:col>
      <xdr:colOff>29400</xdr:colOff>
      <xdr:row>55</xdr:row>
      <xdr:rowOff>45275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399" y="10127424"/>
          <a:ext cx="395351" cy="39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61"/>
  <sheetViews>
    <sheetView showGridLines="0" tabSelected="1" zoomScaleNormal="100" zoomScaleSheetLayoutView="85" workbookViewId="0">
      <selection activeCell="AP54" sqref="AP54"/>
    </sheetView>
  </sheetViews>
  <sheetFormatPr defaultColWidth="3.1640625" defaultRowHeight="12" x14ac:dyDescent="0.15"/>
  <cols>
    <col min="1" max="1" width="0.83203125" style="4" customWidth="1"/>
    <col min="2" max="2" width="5.83203125" style="4" customWidth="1"/>
    <col min="3" max="4" width="3.5" style="4" customWidth="1"/>
    <col min="5" max="5" width="3.1640625" style="4" customWidth="1"/>
    <col min="6" max="37" width="3.1640625" style="4"/>
    <col min="38" max="39" width="3.1640625" style="3" customWidth="1"/>
    <col min="40" max="41" width="3.1640625" style="4" customWidth="1"/>
    <col min="42" max="42" width="2.5" style="4" customWidth="1"/>
    <col min="43" max="44" width="3.1640625" style="4"/>
    <col min="45" max="45" width="6.6640625" style="4" bestFit="1" customWidth="1"/>
    <col min="46" max="16384" width="3.1640625" style="4"/>
  </cols>
  <sheetData>
    <row r="1" spans="2:45" x14ac:dyDescent="0.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 t="s">
        <v>48</v>
      </c>
    </row>
    <row r="2" spans="2:45" ht="2.25" hidden="1" customHeight="1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</row>
    <row r="3" spans="2:45" ht="12" customHeight="1" x14ac:dyDescent="0.15">
      <c r="B3" s="101" t="s">
        <v>40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</row>
    <row r="4" spans="2:45" ht="5.0999999999999996" hidden="1" customHeight="1" x14ac:dyDescent="0.1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2:45" ht="12" customHeigh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7" t="s">
        <v>47</v>
      </c>
    </row>
    <row r="6" spans="2:45" ht="5.0999999999999996" hidden="1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45" ht="18" customHeight="1" x14ac:dyDescent="0.15">
      <c r="B7" s="80" t="s">
        <v>17</v>
      </c>
      <c r="C7" s="80"/>
      <c r="D7" s="80"/>
      <c r="E7" s="80"/>
      <c r="F7" s="80"/>
      <c r="G7" s="80"/>
      <c r="H7" s="82">
        <v>2020</v>
      </c>
      <c r="I7" s="82"/>
      <c r="J7" s="82"/>
      <c r="K7" s="62" t="s">
        <v>13</v>
      </c>
      <c r="L7" s="77">
        <v>6</v>
      </c>
      <c r="M7" s="77"/>
      <c r="N7" s="63" t="s">
        <v>14</v>
      </c>
      <c r="O7" s="55"/>
      <c r="P7" s="55"/>
      <c r="Q7" s="55"/>
      <c r="R7" s="56"/>
      <c r="S7" s="56"/>
      <c r="T7" s="56"/>
      <c r="U7" s="56"/>
      <c r="V7" s="56"/>
      <c r="W7" s="56"/>
      <c r="X7" s="56"/>
      <c r="Y7" s="56"/>
      <c r="Z7" s="55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8"/>
      <c r="AN7" s="3"/>
    </row>
    <row r="8" spans="2:45" ht="5.0999999999999996" customHeight="1" x14ac:dyDescent="0.15">
      <c r="B8" s="56"/>
      <c r="C8" s="56"/>
      <c r="D8" s="56"/>
      <c r="E8" s="56"/>
      <c r="F8" s="57"/>
      <c r="G8" s="57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8"/>
      <c r="AN8" s="3"/>
    </row>
    <row r="9" spans="2:45" ht="18" customHeight="1" x14ac:dyDescent="0.15">
      <c r="B9" s="80" t="s">
        <v>30</v>
      </c>
      <c r="C9" s="80"/>
      <c r="D9" s="80"/>
      <c r="E9" s="80"/>
      <c r="F9" s="80"/>
      <c r="G9" s="80"/>
      <c r="H9" s="81" t="s">
        <v>52</v>
      </c>
      <c r="I9" s="81"/>
      <c r="J9" s="81"/>
      <c r="K9" s="81"/>
      <c r="L9" s="81"/>
      <c r="M9" s="81"/>
      <c r="N9" s="81"/>
      <c r="O9" s="58"/>
      <c r="P9" s="80" t="s">
        <v>34</v>
      </c>
      <c r="Q9" s="80"/>
      <c r="R9" s="80"/>
      <c r="S9" s="80"/>
      <c r="T9" s="84" t="s">
        <v>53</v>
      </c>
      <c r="U9" s="84"/>
      <c r="V9" s="84"/>
      <c r="W9" s="84"/>
      <c r="X9" s="84"/>
      <c r="Y9" s="84"/>
      <c r="Z9" s="56"/>
      <c r="AA9" s="83" t="s">
        <v>35</v>
      </c>
      <c r="AB9" s="83"/>
      <c r="AC9" s="83"/>
      <c r="AD9" s="83"/>
      <c r="AE9" s="84" t="s">
        <v>54</v>
      </c>
      <c r="AF9" s="84"/>
      <c r="AG9" s="84"/>
      <c r="AH9" s="84"/>
      <c r="AI9" s="84"/>
      <c r="AJ9" s="84"/>
      <c r="AK9" s="84"/>
      <c r="AL9" s="4"/>
      <c r="AS9" s="9"/>
    </row>
    <row r="10" spans="2:45" ht="5.0999999999999996" customHeight="1" x14ac:dyDescent="0.15">
      <c r="B10" s="56"/>
      <c r="C10" s="56"/>
      <c r="D10" s="56"/>
      <c r="E10" s="56"/>
      <c r="F10" s="57"/>
      <c r="G10" s="57"/>
      <c r="H10" s="56"/>
      <c r="I10" s="56"/>
      <c r="J10" s="56"/>
      <c r="K10" s="56"/>
      <c r="L10" s="56"/>
      <c r="M10" s="56"/>
      <c r="N10" s="56"/>
      <c r="O10" s="56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4"/>
      <c r="AN10" s="3"/>
    </row>
    <row r="11" spans="2:45" ht="18" customHeight="1" x14ac:dyDescent="0.15">
      <c r="B11" s="79" t="s">
        <v>38</v>
      </c>
      <c r="C11" s="79"/>
      <c r="D11" s="79"/>
      <c r="E11" s="79"/>
      <c r="F11" s="79"/>
      <c r="G11" s="79"/>
      <c r="H11" s="81" t="s">
        <v>55</v>
      </c>
      <c r="I11" s="81"/>
      <c r="J11" s="81"/>
      <c r="K11" s="81"/>
      <c r="L11" s="59" t="s">
        <v>15</v>
      </c>
      <c r="M11" s="81"/>
      <c r="N11" s="81"/>
      <c r="O11" s="60" t="s">
        <v>39</v>
      </c>
      <c r="P11" s="60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61"/>
      <c r="AL11" s="4"/>
      <c r="AN11" s="3"/>
    </row>
    <row r="12" spans="2:45" ht="21" customHeight="1" x14ac:dyDescent="0.15">
      <c r="B12" s="80" t="s">
        <v>21</v>
      </c>
      <c r="C12" s="80"/>
      <c r="D12" s="80"/>
      <c r="E12" s="80"/>
      <c r="F12" s="80"/>
      <c r="G12" s="80"/>
      <c r="H12" s="98" t="s">
        <v>56</v>
      </c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8"/>
      <c r="AN12" s="3"/>
    </row>
    <row r="13" spans="2:45" s="1" customFormat="1" ht="21" customHeight="1" x14ac:dyDescent="0.15">
      <c r="B13" s="78" t="s">
        <v>44</v>
      </c>
      <c r="C13" s="78"/>
      <c r="D13" s="78"/>
      <c r="E13" s="78"/>
      <c r="F13" s="78"/>
      <c r="G13" s="78"/>
      <c r="H13" s="98" t="s">
        <v>57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10"/>
      <c r="AM13" s="11"/>
      <c r="AN13" s="11"/>
    </row>
    <row r="14" spans="2:45" ht="21" customHeight="1" x14ac:dyDescent="0.15">
      <c r="B14" s="100" t="s">
        <v>45</v>
      </c>
      <c r="C14" s="100"/>
      <c r="D14" s="100"/>
      <c r="E14" s="100"/>
      <c r="F14" s="100"/>
      <c r="G14" s="100"/>
      <c r="H14" s="99" t="s">
        <v>58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</row>
    <row r="15" spans="2:45" ht="21" customHeight="1" x14ac:dyDescent="0.15">
      <c r="B15" s="92" t="s">
        <v>43</v>
      </c>
      <c r="C15" s="92"/>
      <c r="D15" s="92"/>
      <c r="E15" s="92"/>
      <c r="F15" s="92"/>
      <c r="G15" s="92"/>
      <c r="H15" s="99" t="s">
        <v>59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M15" s="12"/>
      <c r="AN15" s="12"/>
      <c r="AO15" s="12"/>
      <c r="AP15" s="12"/>
      <c r="AQ15" s="13"/>
    </row>
    <row r="16" spans="2:45" ht="15" customHeight="1" x14ac:dyDescent="0.15">
      <c r="B16" s="53" t="s">
        <v>49</v>
      </c>
      <c r="F16" s="14"/>
      <c r="G16" s="14"/>
      <c r="AL16" s="15"/>
      <c r="AM16" s="12"/>
      <c r="AN16" s="12"/>
      <c r="AO16" s="12"/>
      <c r="AP16" s="12"/>
      <c r="AQ16" s="13"/>
    </row>
    <row r="17" spans="2:44" ht="44.25" customHeight="1" x14ac:dyDescent="0.15">
      <c r="B17" s="16" t="s">
        <v>0</v>
      </c>
      <c r="C17" s="103" t="s">
        <v>1</v>
      </c>
      <c r="D17" s="103"/>
      <c r="E17" s="102" t="s">
        <v>31</v>
      </c>
      <c r="F17" s="103"/>
      <c r="G17" s="103"/>
      <c r="H17" s="103"/>
      <c r="I17" s="102" t="s">
        <v>27</v>
      </c>
      <c r="J17" s="103"/>
      <c r="K17" s="104"/>
      <c r="L17" s="102" t="s">
        <v>28</v>
      </c>
      <c r="M17" s="103"/>
      <c r="N17" s="103"/>
      <c r="O17" s="105" t="s">
        <v>33</v>
      </c>
      <c r="P17" s="106"/>
      <c r="Q17" s="106"/>
      <c r="R17" s="105" t="s">
        <v>29</v>
      </c>
      <c r="S17" s="105"/>
      <c r="T17" s="105"/>
      <c r="U17" s="102" t="s">
        <v>46</v>
      </c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7"/>
      <c r="AL17" s="17" t="s">
        <v>2</v>
      </c>
      <c r="AM17" s="18"/>
      <c r="AN17" s="19"/>
      <c r="AO17" s="20"/>
      <c r="AP17" s="21">
        <v>0</v>
      </c>
      <c r="AQ17" s="13"/>
      <c r="AR17" s="3"/>
    </row>
    <row r="18" spans="2:44" ht="17.100000000000001" customHeight="1" x14ac:dyDescent="0.15">
      <c r="B18" s="22">
        <v>1</v>
      </c>
      <c r="C18" s="96" t="str">
        <f>IF(ISERROR(DATEVALUE($H$7&amp;"/"&amp;$L$7&amp;"/"&amp;1)), "", TEXT($H$7&amp;"/"&amp;$L$7&amp;"/"&amp;1,"aaa"))</f>
        <v>月</v>
      </c>
      <c r="D18" s="97"/>
      <c r="E18" s="23">
        <v>1</v>
      </c>
      <c r="F18" s="95" t="str">
        <f>IF(ISBLANK(E18), "",VLOOKUP(E18,$AL$18:$AM$30,2,0))</f>
        <v>出勤</v>
      </c>
      <c r="G18" s="95"/>
      <c r="H18" s="95"/>
      <c r="I18" s="108">
        <v>820</v>
      </c>
      <c r="J18" s="108"/>
      <c r="K18" s="108"/>
      <c r="L18" s="108">
        <v>2035</v>
      </c>
      <c r="M18" s="108"/>
      <c r="N18" s="108"/>
      <c r="O18" s="108">
        <v>100</v>
      </c>
      <c r="P18" s="108"/>
      <c r="Q18" s="108"/>
      <c r="R18" s="108">
        <v>0</v>
      </c>
      <c r="S18" s="108"/>
      <c r="T18" s="108"/>
      <c r="U18" s="86" t="s">
        <v>60</v>
      </c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7"/>
      <c r="AL18" s="24">
        <v>0</v>
      </c>
      <c r="AM18" s="25" t="s">
        <v>5</v>
      </c>
      <c r="AN18" s="19"/>
      <c r="AO18" s="20"/>
      <c r="AP18" s="21">
        <v>1</v>
      </c>
      <c r="AQ18" s="13"/>
      <c r="AR18" s="3"/>
    </row>
    <row r="19" spans="2:44" ht="17.100000000000001" customHeight="1" x14ac:dyDescent="0.15">
      <c r="B19" s="26">
        <f>IF(ISERROR(DATEVALUE($H$7&amp;"/"&amp;$L$7&amp;"/"&amp;B18+1)), "", B18+1)</f>
        <v>2</v>
      </c>
      <c r="C19" s="96" t="str">
        <f>IF(ISERROR(DATEVALUE($H$7&amp;"/"&amp;$L$7&amp;"/"&amp;B18+1)), "", TEXT($H$7&amp;"/"&amp;$L$7&amp;"/"&amp;B18+1,"aaa"))</f>
        <v>火</v>
      </c>
      <c r="D19" s="97"/>
      <c r="E19" s="23">
        <v>1</v>
      </c>
      <c r="F19" s="95" t="str">
        <f t="shared" ref="F19:F48" si="0">IF(ISBLANK(E19), "",VLOOKUP(E19,$AL$18:$AM$30,2,0))</f>
        <v>出勤</v>
      </c>
      <c r="G19" s="95"/>
      <c r="H19" s="95"/>
      <c r="I19" s="85">
        <v>820</v>
      </c>
      <c r="J19" s="85"/>
      <c r="K19" s="85"/>
      <c r="L19" s="85">
        <v>1650</v>
      </c>
      <c r="M19" s="85"/>
      <c r="N19" s="85"/>
      <c r="O19" s="85">
        <v>45</v>
      </c>
      <c r="P19" s="85"/>
      <c r="Q19" s="85"/>
      <c r="R19" s="85">
        <v>0</v>
      </c>
      <c r="S19" s="85"/>
      <c r="T19" s="85"/>
      <c r="U19" s="86" t="s">
        <v>60</v>
      </c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7"/>
      <c r="AL19" s="24">
        <v>1</v>
      </c>
      <c r="AM19" s="25" t="s">
        <v>6</v>
      </c>
      <c r="AN19" s="19"/>
      <c r="AO19" s="20"/>
      <c r="AP19" s="21">
        <v>2</v>
      </c>
      <c r="AQ19" s="13"/>
      <c r="AR19" s="3"/>
    </row>
    <row r="20" spans="2:44" ht="17.100000000000001" customHeight="1" x14ac:dyDescent="0.15">
      <c r="B20" s="26">
        <f t="shared" ref="B20:B45" si="1">IF(ISERROR(DATEVALUE($H$7&amp;"/"&amp;$L$7&amp;"/"&amp;B19+1)), "", B19+1)</f>
        <v>3</v>
      </c>
      <c r="C20" s="96" t="str">
        <f t="shared" ref="C20:C48" si="2">IF(ISERROR(DATEVALUE($H$7&amp;"/"&amp;$L$7&amp;"/"&amp;B19+1)), "", TEXT($H$7&amp;"/"&amp;$L$7&amp;"/"&amp;B19+1,"aaa"))</f>
        <v>水</v>
      </c>
      <c r="D20" s="97"/>
      <c r="E20" s="27">
        <v>1</v>
      </c>
      <c r="F20" s="95" t="str">
        <f t="shared" si="0"/>
        <v>出勤</v>
      </c>
      <c r="G20" s="95"/>
      <c r="H20" s="95"/>
      <c r="I20" s="85">
        <v>820</v>
      </c>
      <c r="J20" s="85"/>
      <c r="K20" s="85"/>
      <c r="L20" s="85">
        <v>1650</v>
      </c>
      <c r="M20" s="85"/>
      <c r="N20" s="85"/>
      <c r="O20" s="85">
        <v>45</v>
      </c>
      <c r="P20" s="85"/>
      <c r="Q20" s="85"/>
      <c r="R20" s="85">
        <v>0</v>
      </c>
      <c r="S20" s="85"/>
      <c r="T20" s="85"/>
      <c r="U20" s="86" t="s">
        <v>60</v>
      </c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7"/>
      <c r="AL20" s="24">
        <v>2</v>
      </c>
      <c r="AM20" s="25" t="s">
        <v>7</v>
      </c>
      <c r="AN20" s="19"/>
      <c r="AO20" s="20"/>
      <c r="AP20" s="21">
        <v>3</v>
      </c>
      <c r="AQ20" s="12"/>
      <c r="AR20" s="3"/>
    </row>
    <row r="21" spans="2:44" ht="17.100000000000001" customHeight="1" x14ac:dyDescent="0.15">
      <c r="B21" s="26">
        <f t="shared" si="1"/>
        <v>4</v>
      </c>
      <c r="C21" s="96" t="str">
        <f t="shared" si="2"/>
        <v>木</v>
      </c>
      <c r="D21" s="97"/>
      <c r="E21" s="27">
        <v>1</v>
      </c>
      <c r="F21" s="95" t="str">
        <f t="shared" si="0"/>
        <v>出勤</v>
      </c>
      <c r="G21" s="95"/>
      <c r="H21" s="95"/>
      <c r="I21" s="85">
        <v>820</v>
      </c>
      <c r="J21" s="85"/>
      <c r="K21" s="85"/>
      <c r="L21" s="85">
        <v>2035</v>
      </c>
      <c r="M21" s="85"/>
      <c r="N21" s="85"/>
      <c r="O21" s="85">
        <v>100</v>
      </c>
      <c r="P21" s="85"/>
      <c r="Q21" s="85"/>
      <c r="R21" s="85">
        <v>0</v>
      </c>
      <c r="S21" s="85"/>
      <c r="T21" s="85"/>
      <c r="U21" s="86" t="s">
        <v>60</v>
      </c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7"/>
      <c r="AL21" s="24">
        <v>3</v>
      </c>
      <c r="AM21" s="25" t="s">
        <v>32</v>
      </c>
      <c r="AN21" s="19"/>
      <c r="AO21" s="20"/>
      <c r="AP21" s="21">
        <v>4</v>
      </c>
      <c r="AQ21" s="12"/>
      <c r="AR21" s="3"/>
    </row>
    <row r="22" spans="2:44" ht="17.100000000000001" customHeight="1" x14ac:dyDescent="0.15">
      <c r="B22" s="26">
        <f t="shared" si="1"/>
        <v>5</v>
      </c>
      <c r="C22" s="96" t="str">
        <f t="shared" si="2"/>
        <v>金</v>
      </c>
      <c r="D22" s="97"/>
      <c r="E22" s="27">
        <v>1</v>
      </c>
      <c r="F22" s="95" t="str">
        <f t="shared" si="0"/>
        <v>出勤</v>
      </c>
      <c r="G22" s="95"/>
      <c r="H22" s="95"/>
      <c r="I22" s="85">
        <v>820</v>
      </c>
      <c r="J22" s="85"/>
      <c r="K22" s="85"/>
      <c r="L22" s="85">
        <v>1650</v>
      </c>
      <c r="M22" s="85"/>
      <c r="N22" s="85"/>
      <c r="O22" s="85">
        <v>45</v>
      </c>
      <c r="P22" s="85"/>
      <c r="Q22" s="85"/>
      <c r="R22" s="85">
        <v>0</v>
      </c>
      <c r="S22" s="85"/>
      <c r="T22" s="85"/>
      <c r="U22" s="86" t="s">
        <v>60</v>
      </c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7"/>
      <c r="AL22" s="24">
        <v>4</v>
      </c>
      <c r="AM22" s="25" t="s">
        <v>8</v>
      </c>
      <c r="AN22" s="19"/>
      <c r="AO22" s="20"/>
      <c r="AP22" s="21">
        <v>5</v>
      </c>
      <c r="AQ22" s="12"/>
      <c r="AR22" s="3"/>
    </row>
    <row r="23" spans="2:44" ht="17.100000000000001" customHeight="1" x14ac:dyDescent="0.15">
      <c r="B23" s="26">
        <f t="shared" si="1"/>
        <v>6</v>
      </c>
      <c r="C23" s="96" t="str">
        <f t="shared" si="2"/>
        <v>土</v>
      </c>
      <c r="D23" s="97"/>
      <c r="E23" s="27">
        <v>0</v>
      </c>
      <c r="F23" s="95" t="str">
        <f t="shared" si="0"/>
        <v>稼無</v>
      </c>
      <c r="G23" s="95"/>
      <c r="H23" s="9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7"/>
      <c r="AL23" s="24">
        <v>5</v>
      </c>
      <c r="AM23" s="25" t="s">
        <v>9</v>
      </c>
      <c r="AN23" s="19"/>
      <c r="AO23" s="20"/>
      <c r="AP23" s="21">
        <v>6</v>
      </c>
      <c r="AQ23" s="12"/>
      <c r="AR23" s="3"/>
    </row>
    <row r="24" spans="2:44" ht="17.100000000000001" customHeight="1" x14ac:dyDescent="0.15">
      <c r="B24" s="26">
        <f t="shared" si="1"/>
        <v>7</v>
      </c>
      <c r="C24" s="96" t="str">
        <f t="shared" si="2"/>
        <v>日</v>
      </c>
      <c r="D24" s="97"/>
      <c r="E24" s="27">
        <v>0</v>
      </c>
      <c r="F24" s="95" t="str">
        <f t="shared" si="0"/>
        <v>稼無</v>
      </c>
      <c r="G24" s="95"/>
      <c r="H24" s="9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7"/>
      <c r="AL24" s="24">
        <v>6</v>
      </c>
      <c r="AM24" s="25" t="s">
        <v>10</v>
      </c>
      <c r="AN24" s="19"/>
      <c r="AO24" s="20"/>
      <c r="AP24" s="21">
        <v>7</v>
      </c>
      <c r="AQ24" s="12"/>
      <c r="AR24" s="3"/>
    </row>
    <row r="25" spans="2:44" ht="17.100000000000001" customHeight="1" x14ac:dyDescent="0.15">
      <c r="B25" s="26">
        <f t="shared" si="1"/>
        <v>8</v>
      </c>
      <c r="C25" s="96" t="str">
        <f t="shared" si="2"/>
        <v>月</v>
      </c>
      <c r="D25" s="97"/>
      <c r="E25" s="27">
        <v>1</v>
      </c>
      <c r="F25" s="95" t="str">
        <f t="shared" si="0"/>
        <v>出勤</v>
      </c>
      <c r="G25" s="95"/>
      <c r="H25" s="95"/>
      <c r="I25" s="85">
        <v>820</v>
      </c>
      <c r="J25" s="85"/>
      <c r="K25" s="85"/>
      <c r="L25" s="85">
        <v>1650</v>
      </c>
      <c r="M25" s="85"/>
      <c r="N25" s="85"/>
      <c r="O25" s="85">
        <v>45</v>
      </c>
      <c r="P25" s="85"/>
      <c r="Q25" s="85"/>
      <c r="R25" s="85">
        <v>0</v>
      </c>
      <c r="S25" s="85"/>
      <c r="T25" s="85"/>
      <c r="U25" s="86" t="s">
        <v>60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7"/>
      <c r="AL25" s="24">
        <v>7</v>
      </c>
      <c r="AM25" s="25" t="s">
        <v>24</v>
      </c>
      <c r="AN25" s="19"/>
      <c r="AO25" s="20"/>
      <c r="AP25" s="21">
        <v>8</v>
      </c>
      <c r="AQ25" s="12"/>
      <c r="AR25" s="3"/>
    </row>
    <row r="26" spans="2:44" ht="17.100000000000001" customHeight="1" x14ac:dyDescent="0.15">
      <c r="B26" s="26">
        <f t="shared" si="1"/>
        <v>9</v>
      </c>
      <c r="C26" s="96" t="str">
        <f t="shared" si="2"/>
        <v>火</v>
      </c>
      <c r="D26" s="97"/>
      <c r="E26" s="27">
        <v>1</v>
      </c>
      <c r="F26" s="95" t="str">
        <f t="shared" si="0"/>
        <v>出勤</v>
      </c>
      <c r="G26" s="95"/>
      <c r="H26" s="95"/>
      <c r="I26" s="85">
        <v>820</v>
      </c>
      <c r="J26" s="85"/>
      <c r="K26" s="85"/>
      <c r="L26" s="85">
        <v>1650</v>
      </c>
      <c r="M26" s="85"/>
      <c r="N26" s="85"/>
      <c r="O26" s="85">
        <v>45</v>
      </c>
      <c r="P26" s="85"/>
      <c r="Q26" s="85"/>
      <c r="R26" s="85">
        <v>0</v>
      </c>
      <c r="S26" s="85"/>
      <c r="T26" s="85"/>
      <c r="U26" s="86" t="s">
        <v>60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7"/>
      <c r="AL26" s="24">
        <v>8</v>
      </c>
      <c r="AM26" s="25" t="s">
        <v>23</v>
      </c>
      <c r="AN26" s="19"/>
      <c r="AO26" s="20"/>
      <c r="AP26" s="21">
        <v>9</v>
      </c>
      <c r="AQ26" s="12"/>
      <c r="AR26" s="3"/>
    </row>
    <row r="27" spans="2:44" ht="17.100000000000001" customHeight="1" x14ac:dyDescent="0.15">
      <c r="B27" s="26">
        <f t="shared" si="1"/>
        <v>10</v>
      </c>
      <c r="C27" s="96" t="str">
        <f t="shared" si="2"/>
        <v>水</v>
      </c>
      <c r="D27" s="97"/>
      <c r="E27" s="27">
        <v>1</v>
      </c>
      <c r="F27" s="95" t="str">
        <f t="shared" si="0"/>
        <v>出勤</v>
      </c>
      <c r="G27" s="95"/>
      <c r="H27" s="95"/>
      <c r="I27" s="85">
        <v>820</v>
      </c>
      <c r="J27" s="85"/>
      <c r="K27" s="85"/>
      <c r="L27" s="85">
        <v>1650</v>
      </c>
      <c r="M27" s="85"/>
      <c r="N27" s="85"/>
      <c r="O27" s="85">
        <v>45</v>
      </c>
      <c r="P27" s="85"/>
      <c r="Q27" s="85"/>
      <c r="R27" s="85">
        <v>0</v>
      </c>
      <c r="S27" s="85"/>
      <c r="T27" s="85"/>
      <c r="U27" s="86" t="s">
        <v>60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7"/>
      <c r="AL27" s="24">
        <v>9</v>
      </c>
      <c r="AM27" s="25" t="s">
        <v>25</v>
      </c>
      <c r="AN27" s="19"/>
      <c r="AO27" s="20"/>
      <c r="AP27" s="21" t="s">
        <v>4</v>
      </c>
      <c r="AQ27" s="12"/>
      <c r="AR27" s="3"/>
    </row>
    <row r="28" spans="2:44" ht="17.100000000000001" customHeight="1" x14ac:dyDescent="0.15">
      <c r="B28" s="26">
        <f t="shared" si="1"/>
        <v>11</v>
      </c>
      <c r="C28" s="96" t="str">
        <f t="shared" si="2"/>
        <v>木</v>
      </c>
      <c r="D28" s="97"/>
      <c r="E28" s="27">
        <v>1</v>
      </c>
      <c r="F28" s="95" t="str">
        <f t="shared" si="0"/>
        <v>出勤</v>
      </c>
      <c r="G28" s="95"/>
      <c r="H28" s="95"/>
      <c r="I28" s="85">
        <v>820</v>
      </c>
      <c r="J28" s="85"/>
      <c r="K28" s="85"/>
      <c r="L28" s="85">
        <v>1935</v>
      </c>
      <c r="M28" s="85"/>
      <c r="N28" s="85"/>
      <c r="O28" s="85">
        <v>100</v>
      </c>
      <c r="P28" s="85"/>
      <c r="Q28" s="85"/>
      <c r="R28" s="85">
        <v>0</v>
      </c>
      <c r="S28" s="85"/>
      <c r="T28" s="85"/>
      <c r="U28" s="86" t="s">
        <v>60</v>
      </c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7"/>
      <c r="AL28" s="24" t="s">
        <v>16</v>
      </c>
      <c r="AM28" s="25" t="s">
        <v>11</v>
      </c>
      <c r="AN28" s="19"/>
      <c r="AO28" s="20"/>
      <c r="AP28" s="21" t="s">
        <v>3</v>
      </c>
      <c r="AQ28" s="12"/>
      <c r="AR28" s="3"/>
    </row>
    <row r="29" spans="2:44" ht="17.100000000000001" customHeight="1" x14ac:dyDescent="0.15">
      <c r="B29" s="26">
        <f t="shared" si="1"/>
        <v>12</v>
      </c>
      <c r="C29" s="96" t="str">
        <f t="shared" si="2"/>
        <v>金</v>
      </c>
      <c r="D29" s="97"/>
      <c r="E29" s="27">
        <v>1</v>
      </c>
      <c r="F29" s="95" t="str">
        <f t="shared" si="0"/>
        <v>出勤</v>
      </c>
      <c r="G29" s="95"/>
      <c r="H29" s="95"/>
      <c r="I29" s="85">
        <v>820</v>
      </c>
      <c r="J29" s="85"/>
      <c r="K29" s="85"/>
      <c r="L29" s="85">
        <v>1650</v>
      </c>
      <c r="M29" s="85"/>
      <c r="N29" s="85"/>
      <c r="O29" s="85">
        <v>45</v>
      </c>
      <c r="P29" s="85"/>
      <c r="Q29" s="85"/>
      <c r="R29" s="85">
        <v>0</v>
      </c>
      <c r="S29" s="85"/>
      <c r="T29" s="85"/>
      <c r="U29" s="86" t="s">
        <v>60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7"/>
      <c r="AL29" s="28" t="s">
        <v>22</v>
      </c>
      <c r="AM29" s="18" t="s">
        <v>26</v>
      </c>
      <c r="AN29" s="3"/>
      <c r="AO29" s="3"/>
      <c r="AP29" s="3"/>
      <c r="AQ29" s="3"/>
      <c r="AR29" s="3"/>
    </row>
    <row r="30" spans="2:44" ht="17.100000000000001" customHeight="1" x14ac:dyDescent="0.15">
      <c r="B30" s="26">
        <f t="shared" si="1"/>
        <v>13</v>
      </c>
      <c r="C30" s="96" t="str">
        <f t="shared" si="2"/>
        <v>土</v>
      </c>
      <c r="D30" s="97"/>
      <c r="E30" s="27">
        <v>0</v>
      </c>
      <c r="F30" s="95" t="str">
        <f t="shared" si="0"/>
        <v>稼無</v>
      </c>
      <c r="G30" s="95"/>
      <c r="H30" s="9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7"/>
      <c r="AL30" s="28" t="s">
        <v>50</v>
      </c>
      <c r="AM30" s="18" t="s">
        <v>51</v>
      </c>
      <c r="AN30" s="3"/>
      <c r="AO30" s="3"/>
      <c r="AP30" s="3"/>
      <c r="AQ30" s="3"/>
      <c r="AR30" s="3"/>
    </row>
    <row r="31" spans="2:44" ht="17.100000000000001" customHeight="1" x14ac:dyDescent="0.15">
      <c r="B31" s="26">
        <f t="shared" si="1"/>
        <v>14</v>
      </c>
      <c r="C31" s="96" t="str">
        <f t="shared" si="2"/>
        <v>日</v>
      </c>
      <c r="D31" s="97"/>
      <c r="E31" s="27">
        <v>0</v>
      </c>
      <c r="F31" s="95" t="str">
        <f t="shared" si="0"/>
        <v>稼無</v>
      </c>
      <c r="G31" s="95"/>
      <c r="H31" s="9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7"/>
      <c r="AL31" s="54"/>
      <c r="AM31" s="54"/>
      <c r="AN31" s="3"/>
      <c r="AO31" s="3"/>
      <c r="AP31" s="3"/>
      <c r="AQ31" s="3"/>
      <c r="AR31" s="3"/>
    </row>
    <row r="32" spans="2:44" ht="17.100000000000001" customHeight="1" x14ac:dyDescent="0.15">
      <c r="B32" s="26">
        <f t="shared" si="1"/>
        <v>15</v>
      </c>
      <c r="C32" s="96" t="str">
        <f t="shared" si="2"/>
        <v>月</v>
      </c>
      <c r="D32" s="97"/>
      <c r="E32" s="27">
        <v>1</v>
      </c>
      <c r="F32" s="95" t="str">
        <f t="shared" si="0"/>
        <v>出勤</v>
      </c>
      <c r="G32" s="95"/>
      <c r="H32" s="95"/>
      <c r="I32" s="85">
        <v>820</v>
      </c>
      <c r="J32" s="85"/>
      <c r="K32" s="85"/>
      <c r="L32" s="85">
        <v>1650</v>
      </c>
      <c r="M32" s="85"/>
      <c r="N32" s="85"/>
      <c r="O32" s="85">
        <v>45</v>
      </c>
      <c r="P32" s="85"/>
      <c r="Q32" s="85"/>
      <c r="R32" s="85">
        <v>0</v>
      </c>
      <c r="S32" s="85"/>
      <c r="T32" s="85"/>
      <c r="U32" s="86" t="s">
        <v>60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7"/>
      <c r="AL32" s="54"/>
      <c r="AM32" s="54"/>
    </row>
    <row r="33" spans="2:39" ht="17.100000000000001" customHeight="1" x14ac:dyDescent="0.15">
      <c r="B33" s="26">
        <f t="shared" si="1"/>
        <v>16</v>
      </c>
      <c r="C33" s="96" t="str">
        <f t="shared" si="2"/>
        <v>火</v>
      </c>
      <c r="D33" s="97"/>
      <c r="E33" s="27">
        <v>1</v>
      </c>
      <c r="F33" s="95" t="str">
        <f t="shared" si="0"/>
        <v>出勤</v>
      </c>
      <c r="G33" s="95"/>
      <c r="H33" s="95"/>
      <c r="I33" s="85">
        <v>820</v>
      </c>
      <c r="J33" s="85"/>
      <c r="K33" s="85"/>
      <c r="L33" s="85">
        <v>2005</v>
      </c>
      <c r="M33" s="85"/>
      <c r="N33" s="85"/>
      <c r="O33" s="85">
        <v>100</v>
      </c>
      <c r="P33" s="85"/>
      <c r="Q33" s="85"/>
      <c r="R33" s="85">
        <v>0</v>
      </c>
      <c r="S33" s="85"/>
      <c r="T33" s="85"/>
      <c r="U33" s="86" t="s">
        <v>60</v>
      </c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7"/>
      <c r="AL33" s="54"/>
      <c r="AM33" s="54"/>
    </row>
    <row r="34" spans="2:39" ht="17.100000000000001" customHeight="1" x14ac:dyDescent="0.15">
      <c r="B34" s="26">
        <f t="shared" si="1"/>
        <v>17</v>
      </c>
      <c r="C34" s="96" t="str">
        <f t="shared" si="2"/>
        <v>水</v>
      </c>
      <c r="D34" s="97"/>
      <c r="E34" s="27">
        <v>3</v>
      </c>
      <c r="F34" s="95" t="str">
        <f t="shared" si="0"/>
        <v>有給</v>
      </c>
      <c r="G34" s="95"/>
      <c r="H34" s="9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7"/>
    </row>
    <row r="35" spans="2:39" ht="17.100000000000001" customHeight="1" x14ac:dyDescent="0.15">
      <c r="B35" s="26">
        <f t="shared" si="1"/>
        <v>18</v>
      </c>
      <c r="C35" s="96" t="str">
        <f t="shared" si="2"/>
        <v>木</v>
      </c>
      <c r="D35" s="97"/>
      <c r="E35" s="27">
        <v>1</v>
      </c>
      <c r="F35" s="95" t="str">
        <f t="shared" si="0"/>
        <v>出勤</v>
      </c>
      <c r="G35" s="95"/>
      <c r="H35" s="95"/>
      <c r="I35" s="85">
        <v>820</v>
      </c>
      <c r="J35" s="85"/>
      <c r="K35" s="85"/>
      <c r="L35" s="85">
        <v>1905</v>
      </c>
      <c r="M35" s="85"/>
      <c r="N35" s="85"/>
      <c r="O35" s="85">
        <v>100</v>
      </c>
      <c r="P35" s="85"/>
      <c r="Q35" s="85"/>
      <c r="R35" s="85">
        <v>0</v>
      </c>
      <c r="S35" s="85"/>
      <c r="T35" s="85"/>
      <c r="U35" s="86" t="s">
        <v>60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7"/>
    </row>
    <row r="36" spans="2:39" ht="17.100000000000001" customHeight="1" x14ac:dyDescent="0.15">
      <c r="B36" s="26">
        <f t="shared" si="1"/>
        <v>19</v>
      </c>
      <c r="C36" s="96" t="str">
        <f t="shared" si="2"/>
        <v>金</v>
      </c>
      <c r="D36" s="97"/>
      <c r="E36" s="27">
        <v>1</v>
      </c>
      <c r="F36" s="95" t="str">
        <f t="shared" si="0"/>
        <v>出勤</v>
      </c>
      <c r="G36" s="95"/>
      <c r="H36" s="95"/>
      <c r="I36" s="85">
        <v>820</v>
      </c>
      <c r="J36" s="85"/>
      <c r="K36" s="85"/>
      <c r="L36" s="85">
        <v>1650</v>
      </c>
      <c r="M36" s="85"/>
      <c r="N36" s="85"/>
      <c r="O36" s="85">
        <v>45</v>
      </c>
      <c r="P36" s="85"/>
      <c r="Q36" s="85"/>
      <c r="R36" s="85">
        <v>0</v>
      </c>
      <c r="S36" s="85"/>
      <c r="T36" s="85"/>
      <c r="U36" s="86" t="s">
        <v>61</v>
      </c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7"/>
    </row>
    <row r="37" spans="2:39" ht="17.100000000000001" customHeight="1" x14ac:dyDescent="0.15">
      <c r="B37" s="26">
        <f t="shared" si="1"/>
        <v>20</v>
      </c>
      <c r="C37" s="96" t="str">
        <f t="shared" si="2"/>
        <v>土</v>
      </c>
      <c r="D37" s="97"/>
      <c r="E37" s="27">
        <v>0</v>
      </c>
      <c r="F37" s="95" t="str">
        <f t="shared" si="0"/>
        <v>稼無</v>
      </c>
      <c r="G37" s="95"/>
      <c r="H37" s="9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7"/>
    </row>
    <row r="38" spans="2:39" ht="17.100000000000001" customHeight="1" x14ac:dyDescent="0.15">
      <c r="B38" s="26">
        <f t="shared" si="1"/>
        <v>21</v>
      </c>
      <c r="C38" s="96" t="str">
        <f t="shared" si="2"/>
        <v>日</v>
      </c>
      <c r="D38" s="97"/>
      <c r="E38" s="27">
        <v>0</v>
      </c>
      <c r="F38" s="95" t="str">
        <f t="shared" si="0"/>
        <v>稼無</v>
      </c>
      <c r="G38" s="95"/>
      <c r="H38" s="9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7"/>
    </row>
    <row r="39" spans="2:39" ht="17.100000000000001" customHeight="1" x14ac:dyDescent="0.15">
      <c r="B39" s="26">
        <f t="shared" si="1"/>
        <v>22</v>
      </c>
      <c r="C39" s="96" t="str">
        <f t="shared" si="2"/>
        <v>月</v>
      </c>
      <c r="D39" s="97"/>
      <c r="E39" s="27">
        <v>1</v>
      </c>
      <c r="F39" s="95" t="str">
        <f t="shared" si="0"/>
        <v>出勤</v>
      </c>
      <c r="G39" s="95"/>
      <c r="H39" s="95"/>
      <c r="I39" s="85">
        <v>820</v>
      </c>
      <c r="J39" s="85"/>
      <c r="K39" s="85"/>
      <c r="L39" s="85">
        <v>1905</v>
      </c>
      <c r="M39" s="85"/>
      <c r="N39" s="85"/>
      <c r="O39" s="85">
        <v>100</v>
      </c>
      <c r="P39" s="85"/>
      <c r="Q39" s="85"/>
      <c r="R39" s="85">
        <v>0</v>
      </c>
      <c r="S39" s="85"/>
      <c r="T39" s="85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7"/>
    </row>
    <row r="40" spans="2:39" ht="17.100000000000001" customHeight="1" x14ac:dyDescent="0.15">
      <c r="B40" s="26">
        <f t="shared" si="1"/>
        <v>23</v>
      </c>
      <c r="C40" s="96" t="str">
        <f t="shared" si="2"/>
        <v>火</v>
      </c>
      <c r="D40" s="97"/>
      <c r="E40" s="27">
        <v>1</v>
      </c>
      <c r="F40" s="95" t="str">
        <f t="shared" si="0"/>
        <v>出勤</v>
      </c>
      <c r="G40" s="95"/>
      <c r="H40" s="95"/>
      <c r="I40" s="85">
        <v>820</v>
      </c>
      <c r="J40" s="85"/>
      <c r="K40" s="85"/>
      <c r="L40" s="85">
        <v>1650</v>
      </c>
      <c r="M40" s="85"/>
      <c r="N40" s="85"/>
      <c r="O40" s="85">
        <v>45</v>
      </c>
      <c r="P40" s="85"/>
      <c r="Q40" s="85"/>
      <c r="R40" s="85">
        <v>0</v>
      </c>
      <c r="S40" s="85"/>
      <c r="T40" s="85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7"/>
    </row>
    <row r="41" spans="2:39" ht="17.100000000000001" customHeight="1" x14ac:dyDescent="0.15">
      <c r="B41" s="26">
        <f t="shared" si="1"/>
        <v>24</v>
      </c>
      <c r="C41" s="96" t="str">
        <f t="shared" si="2"/>
        <v>水</v>
      </c>
      <c r="D41" s="97"/>
      <c r="E41" s="27">
        <v>1</v>
      </c>
      <c r="F41" s="95" t="str">
        <f t="shared" si="0"/>
        <v>出勤</v>
      </c>
      <c r="G41" s="95"/>
      <c r="H41" s="95"/>
      <c r="I41" s="85">
        <v>820</v>
      </c>
      <c r="J41" s="85"/>
      <c r="K41" s="85"/>
      <c r="L41" s="85">
        <v>1650</v>
      </c>
      <c r="M41" s="85"/>
      <c r="N41" s="85"/>
      <c r="O41" s="85">
        <v>45</v>
      </c>
      <c r="P41" s="85"/>
      <c r="Q41" s="85"/>
      <c r="R41" s="85">
        <v>0</v>
      </c>
      <c r="S41" s="85"/>
      <c r="T41" s="85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7"/>
    </row>
    <row r="42" spans="2:39" ht="17.100000000000001" customHeight="1" x14ac:dyDescent="0.15">
      <c r="B42" s="26">
        <f t="shared" si="1"/>
        <v>25</v>
      </c>
      <c r="C42" s="96" t="str">
        <f t="shared" si="2"/>
        <v>木</v>
      </c>
      <c r="D42" s="97"/>
      <c r="E42" s="27">
        <v>1</v>
      </c>
      <c r="F42" s="95" t="str">
        <f t="shared" si="0"/>
        <v>出勤</v>
      </c>
      <c r="G42" s="95"/>
      <c r="H42" s="95"/>
      <c r="I42" s="85">
        <v>820</v>
      </c>
      <c r="J42" s="85"/>
      <c r="K42" s="85"/>
      <c r="L42" s="85">
        <v>1905</v>
      </c>
      <c r="M42" s="85"/>
      <c r="N42" s="85"/>
      <c r="O42" s="85">
        <v>100</v>
      </c>
      <c r="P42" s="85"/>
      <c r="Q42" s="85"/>
      <c r="R42" s="85">
        <v>0</v>
      </c>
      <c r="S42" s="85"/>
      <c r="T42" s="85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7"/>
    </row>
    <row r="43" spans="2:39" ht="17.100000000000001" customHeight="1" x14ac:dyDescent="0.15">
      <c r="B43" s="26">
        <f t="shared" si="1"/>
        <v>26</v>
      </c>
      <c r="C43" s="96" t="str">
        <f t="shared" si="2"/>
        <v>金</v>
      </c>
      <c r="D43" s="97"/>
      <c r="E43" s="27">
        <v>1</v>
      </c>
      <c r="F43" s="95" t="str">
        <f t="shared" si="0"/>
        <v>出勤</v>
      </c>
      <c r="G43" s="95"/>
      <c r="H43" s="95"/>
      <c r="I43" s="85">
        <v>820</v>
      </c>
      <c r="J43" s="85"/>
      <c r="K43" s="85"/>
      <c r="L43" s="85">
        <v>1650</v>
      </c>
      <c r="M43" s="85"/>
      <c r="N43" s="85"/>
      <c r="O43" s="85">
        <v>45</v>
      </c>
      <c r="P43" s="85"/>
      <c r="Q43" s="85"/>
      <c r="R43" s="85">
        <v>0</v>
      </c>
      <c r="S43" s="85"/>
      <c r="T43" s="85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7"/>
    </row>
    <row r="44" spans="2:39" ht="17.100000000000001" customHeight="1" x14ac:dyDescent="0.15">
      <c r="B44" s="26">
        <f t="shared" si="1"/>
        <v>27</v>
      </c>
      <c r="C44" s="96" t="str">
        <f t="shared" si="2"/>
        <v>土</v>
      </c>
      <c r="D44" s="97"/>
      <c r="E44" s="27">
        <v>0</v>
      </c>
      <c r="F44" s="95" t="str">
        <f t="shared" si="0"/>
        <v>稼無</v>
      </c>
      <c r="G44" s="95"/>
      <c r="H44" s="9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7"/>
    </row>
    <row r="45" spans="2:39" ht="17.100000000000001" customHeight="1" x14ac:dyDescent="0.15">
      <c r="B45" s="26">
        <f t="shared" si="1"/>
        <v>28</v>
      </c>
      <c r="C45" s="96" t="str">
        <f t="shared" si="2"/>
        <v>日</v>
      </c>
      <c r="D45" s="97"/>
      <c r="E45" s="27">
        <v>0</v>
      </c>
      <c r="F45" s="95" t="str">
        <f t="shared" si="0"/>
        <v>稼無</v>
      </c>
      <c r="G45" s="95"/>
      <c r="H45" s="9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7"/>
    </row>
    <row r="46" spans="2:39" ht="17.100000000000001" customHeight="1" x14ac:dyDescent="0.15">
      <c r="B46" s="26">
        <f>IF(ISERROR(DATEVALUE($H$7&amp;"/"&amp;$L$7&amp;"/"&amp;B45+1)), "", B45+1)</f>
        <v>29</v>
      </c>
      <c r="C46" s="96" t="str">
        <f t="shared" si="2"/>
        <v>月</v>
      </c>
      <c r="D46" s="97"/>
      <c r="E46" s="27">
        <v>1</v>
      </c>
      <c r="F46" s="95" t="str">
        <f t="shared" si="0"/>
        <v>出勤</v>
      </c>
      <c r="G46" s="95"/>
      <c r="H46" s="95"/>
      <c r="I46" s="85">
        <v>820</v>
      </c>
      <c r="J46" s="85"/>
      <c r="K46" s="85"/>
      <c r="L46" s="85">
        <v>1650</v>
      </c>
      <c r="M46" s="85"/>
      <c r="N46" s="85"/>
      <c r="O46" s="85">
        <v>45</v>
      </c>
      <c r="P46" s="85"/>
      <c r="Q46" s="85"/>
      <c r="R46" s="85">
        <v>0</v>
      </c>
      <c r="S46" s="85"/>
      <c r="T46" s="85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7"/>
    </row>
    <row r="47" spans="2:39" ht="17.100000000000001" customHeight="1" x14ac:dyDescent="0.15">
      <c r="B47" s="26">
        <f>IF(ISERROR(DATEVALUE($H$7&amp;"/"&amp;$L$7&amp;"/"&amp;B46+1)), "", B46+1)</f>
        <v>30</v>
      </c>
      <c r="C47" s="96" t="str">
        <f t="shared" si="2"/>
        <v>火</v>
      </c>
      <c r="D47" s="97"/>
      <c r="E47" s="27">
        <v>1</v>
      </c>
      <c r="F47" s="95" t="str">
        <f t="shared" si="0"/>
        <v>出勤</v>
      </c>
      <c r="G47" s="95"/>
      <c r="H47" s="95"/>
      <c r="I47" s="85">
        <v>820</v>
      </c>
      <c r="J47" s="85"/>
      <c r="K47" s="85"/>
      <c r="L47" s="85">
        <v>1835</v>
      </c>
      <c r="M47" s="85"/>
      <c r="N47" s="85"/>
      <c r="O47" s="85">
        <v>100</v>
      </c>
      <c r="P47" s="85"/>
      <c r="Q47" s="85"/>
      <c r="R47" s="85">
        <v>0</v>
      </c>
      <c r="S47" s="85"/>
      <c r="T47" s="85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7"/>
    </row>
    <row r="48" spans="2:39" ht="17.100000000000001" customHeight="1" x14ac:dyDescent="0.15">
      <c r="B48" s="29" t="str">
        <f>IF(ISERROR(DATEVALUE($H$7&amp;"/"&amp;$L$7&amp;"/"&amp;B47+1)), "", B47+1)</f>
        <v/>
      </c>
      <c r="C48" s="89" t="str">
        <f t="shared" si="2"/>
        <v/>
      </c>
      <c r="D48" s="90"/>
      <c r="E48" s="30"/>
      <c r="F48" s="88" t="str">
        <f t="shared" si="0"/>
        <v/>
      </c>
      <c r="G48" s="88"/>
      <c r="H48" s="88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4"/>
    </row>
    <row r="49" spans="2:39" ht="5.0999999999999996" hidden="1" customHeight="1" x14ac:dyDescent="0.15">
      <c r="AF49" s="31"/>
      <c r="AG49" s="32"/>
      <c r="AH49" s="32"/>
      <c r="AI49" s="32"/>
      <c r="AJ49" s="32"/>
      <c r="AK49" s="33"/>
    </row>
    <row r="50" spans="2:39" ht="5.0999999999999996" customHeight="1" x14ac:dyDescent="0.15">
      <c r="Y50" s="21"/>
      <c r="Z50" s="33"/>
      <c r="AM50" s="4"/>
    </row>
    <row r="51" spans="2:39" ht="12.75" customHeight="1" thickBot="1" x14ac:dyDescent="0.2">
      <c r="B51" s="1" t="s">
        <v>12</v>
      </c>
      <c r="X51" s="20"/>
      <c r="Y51" s="21"/>
      <c r="Z51" s="74" t="s">
        <v>41</v>
      </c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6"/>
      <c r="AM51" s="4"/>
    </row>
    <row r="52" spans="2:39" ht="13.5" customHeight="1" x14ac:dyDescent="0.15">
      <c r="B52" s="34"/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7"/>
      <c r="W52" s="37"/>
      <c r="X52" s="38"/>
      <c r="Y52" s="21"/>
      <c r="Z52" s="73" t="s">
        <v>18</v>
      </c>
      <c r="AA52" s="73"/>
      <c r="AB52" s="73"/>
      <c r="AC52" s="73"/>
      <c r="AD52" s="73" t="s">
        <v>19</v>
      </c>
      <c r="AE52" s="73"/>
      <c r="AF52" s="73"/>
      <c r="AG52" s="73"/>
      <c r="AH52" s="73" t="s">
        <v>20</v>
      </c>
      <c r="AI52" s="73"/>
      <c r="AJ52" s="73"/>
      <c r="AK52" s="73"/>
      <c r="AM52" s="4"/>
    </row>
    <row r="53" spans="2:39" ht="13.5" customHeight="1" x14ac:dyDescent="0.15">
      <c r="B53" s="39" t="s">
        <v>42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40"/>
      <c r="W53" s="40"/>
      <c r="X53" s="41"/>
      <c r="Y53" s="21"/>
      <c r="Z53" s="64"/>
      <c r="AA53" s="65"/>
      <c r="AB53" s="65"/>
      <c r="AC53" s="66"/>
      <c r="AD53" s="64"/>
      <c r="AE53" s="65"/>
      <c r="AF53" s="65"/>
      <c r="AG53" s="66"/>
      <c r="AH53" s="64"/>
      <c r="AI53" s="65"/>
      <c r="AJ53" s="65"/>
      <c r="AK53" s="66"/>
      <c r="AM53" s="4"/>
    </row>
    <row r="54" spans="2:39" ht="13.5" customHeight="1" x14ac:dyDescent="0.15">
      <c r="B54" s="39" t="s">
        <v>36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21"/>
      <c r="Z54" s="67"/>
      <c r="AA54" s="68"/>
      <c r="AB54" s="68"/>
      <c r="AC54" s="69"/>
      <c r="AD54" s="67"/>
      <c r="AE54" s="68"/>
      <c r="AF54" s="68"/>
      <c r="AG54" s="69"/>
      <c r="AH54" s="67"/>
      <c r="AI54" s="68"/>
      <c r="AJ54" s="68"/>
      <c r="AK54" s="69"/>
      <c r="AM54" s="4"/>
    </row>
    <row r="55" spans="2:39" ht="13.5" customHeight="1" x14ac:dyDescent="0.15">
      <c r="B55" s="39" t="s">
        <v>37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3"/>
      <c r="Y55" s="21"/>
      <c r="Z55" s="67"/>
      <c r="AA55" s="68"/>
      <c r="AB55" s="68"/>
      <c r="AC55" s="69"/>
      <c r="AD55" s="67"/>
      <c r="AE55" s="68"/>
      <c r="AF55" s="68"/>
      <c r="AG55" s="69"/>
      <c r="AH55" s="67"/>
      <c r="AI55" s="68"/>
      <c r="AJ55" s="68"/>
      <c r="AK55" s="69"/>
      <c r="AM55" s="4"/>
    </row>
    <row r="56" spans="2:39" ht="15.75" customHeight="1" thickBot="1" x14ac:dyDescent="0.2">
      <c r="B56" s="44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6"/>
      <c r="Y56" s="21"/>
      <c r="Z56" s="70"/>
      <c r="AA56" s="71"/>
      <c r="AB56" s="71"/>
      <c r="AC56" s="72"/>
      <c r="AD56" s="70"/>
      <c r="AE56" s="71"/>
      <c r="AF56" s="71"/>
      <c r="AG56" s="72"/>
      <c r="AH56" s="70"/>
      <c r="AI56" s="71"/>
      <c r="AJ56" s="71"/>
      <c r="AK56" s="72"/>
      <c r="AM56" s="4"/>
    </row>
    <row r="57" spans="2:39" x14ac:dyDescent="0.15">
      <c r="C57" s="47"/>
      <c r="D57" s="48"/>
      <c r="E57" s="24"/>
      <c r="F57" s="49"/>
      <c r="X57" s="20"/>
      <c r="Y57" s="21"/>
      <c r="Z57" s="32"/>
      <c r="AM57" s="4"/>
    </row>
    <row r="58" spans="2:39" x14ac:dyDescent="0.15">
      <c r="C58" s="47"/>
      <c r="D58" s="48"/>
      <c r="E58" s="24"/>
      <c r="F58" s="49"/>
      <c r="AE58" s="50"/>
      <c r="AF58" s="51"/>
      <c r="AG58" s="52"/>
      <c r="AH58" s="20"/>
      <c r="AI58" s="21"/>
      <c r="AJ58" s="32"/>
      <c r="AM58" s="4"/>
    </row>
    <row r="59" spans="2:39" x14ac:dyDescent="0.15">
      <c r="C59" s="47"/>
      <c r="D59" s="48"/>
      <c r="E59" s="24"/>
      <c r="F59" s="49"/>
      <c r="AE59" s="50"/>
      <c r="AF59" s="51"/>
      <c r="AG59" s="52"/>
      <c r="AH59" s="20"/>
      <c r="AI59" s="21"/>
      <c r="AJ59" s="32"/>
      <c r="AM59" s="4"/>
    </row>
    <row r="60" spans="2:39" x14ac:dyDescent="0.15">
      <c r="C60" s="47"/>
      <c r="D60" s="48"/>
      <c r="E60" s="24"/>
      <c r="F60" s="49"/>
      <c r="AF60" s="50"/>
      <c r="AG60" s="51"/>
      <c r="AH60" s="52"/>
      <c r="AI60" s="20"/>
      <c r="AJ60" s="21"/>
      <c r="AK60" s="32"/>
    </row>
    <row r="61" spans="2:39" x14ac:dyDescent="0.15">
      <c r="C61" s="8"/>
      <c r="D61" s="8"/>
      <c r="E61" s="8"/>
      <c r="F61" s="8"/>
    </row>
  </sheetData>
  <sheetProtection algorithmName="SHA-512" hashValue="Q6crTB9TC6k1dOFuYJLL8R8HxuerupD6V9nkzKE4BxIyPwHU+SzTSMJM76whMkDXx5gfmYYPurANiUfyPJOxUA==" saltValue="NW0TwMdBfDvm9cE5frYzzQ==" spinCount="100000" sheet="1" scenarios="1"/>
  <mergeCells count="249">
    <mergeCell ref="B12:G12"/>
    <mergeCell ref="H12:AK12"/>
    <mergeCell ref="H13:AK13"/>
    <mergeCell ref="H14:AK14"/>
    <mergeCell ref="H15:AK15"/>
    <mergeCell ref="B14:G14"/>
    <mergeCell ref="B3:AK3"/>
    <mergeCell ref="Z52:AC52"/>
    <mergeCell ref="AD52:AG52"/>
    <mergeCell ref="M11:N11"/>
    <mergeCell ref="E17:H17"/>
    <mergeCell ref="C17:D17"/>
    <mergeCell ref="I17:K17"/>
    <mergeCell ref="L17:N17"/>
    <mergeCell ref="O17:Q17"/>
    <mergeCell ref="R17:T17"/>
    <mergeCell ref="U17:AK17"/>
    <mergeCell ref="F18:H18"/>
    <mergeCell ref="C18:D18"/>
    <mergeCell ref="I18:K18"/>
    <mergeCell ref="L18:N18"/>
    <mergeCell ref="O18:Q18"/>
    <mergeCell ref="R18:T18"/>
    <mergeCell ref="U18:AK18"/>
    <mergeCell ref="R19:T19"/>
    <mergeCell ref="U19:AK19"/>
    <mergeCell ref="F20:H20"/>
    <mergeCell ref="C20:D20"/>
    <mergeCell ref="I20:K20"/>
    <mergeCell ref="L20:N20"/>
    <mergeCell ref="O20:Q20"/>
    <mergeCell ref="R20:T20"/>
    <mergeCell ref="U20:AK20"/>
    <mergeCell ref="F19:H19"/>
    <mergeCell ref="C19:D19"/>
    <mergeCell ref="I19:K19"/>
    <mergeCell ref="L19:N19"/>
    <mergeCell ref="O19:Q19"/>
    <mergeCell ref="R21:T21"/>
    <mergeCell ref="U21:AK21"/>
    <mergeCell ref="F22:H22"/>
    <mergeCell ref="C22:D22"/>
    <mergeCell ref="I22:K22"/>
    <mergeCell ref="L22:N22"/>
    <mergeCell ref="O22:Q22"/>
    <mergeCell ref="R22:T22"/>
    <mergeCell ref="U22:AK22"/>
    <mergeCell ref="F21:H21"/>
    <mergeCell ref="C21:D21"/>
    <mergeCell ref="I21:K21"/>
    <mergeCell ref="L21:N21"/>
    <mergeCell ref="O21:Q21"/>
    <mergeCell ref="R23:T23"/>
    <mergeCell ref="U23:AK23"/>
    <mergeCell ref="F24:H24"/>
    <mergeCell ref="C24:D24"/>
    <mergeCell ref="I24:K24"/>
    <mergeCell ref="L24:N24"/>
    <mergeCell ref="O24:Q24"/>
    <mergeCell ref="R24:T24"/>
    <mergeCell ref="U24:AK24"/>
    <mergeCell ref="F23:H23"/>
    <mergeCell ref="C23:D23"/>
    <mergeCell ref="I23:K23"/>
    <mergeCell ref="L23:N23"/>
    <mergeCell ref="O23:Q23"/>
    <mergeCell ref="R25:T25"/>
    <mergeCell ref="U25:AK25"/>
    <mergeCell ref="F26:H26"/>
    <mergeCell ref="C26:D26"/>
    <mergeCell ref="I26:K26"/>
    <mergeCell ref="L26:N26"/>
    <mergeCell ref="O26:Q26"/>
    <mergeCell ref="R26:T26"/>
    <mergeCell ref="U26:AK26"/>
    <mergeCell ref="F25:H25"/>
    <mergeCell ref="C25:D25"/>
    <mergeCell ref="I25:K25"/>
    <mergeCell ref="L25:N25"/>
    <mergeCell ref="O25:Q25"/>
    <mergeCell ref="R27:T27"/>
    <mergeCell ref="U27:AK27"/>
    <mergeCell ref="F28:H28"/>
    <mergeCell ref="C28:D28"/>
    <mergeCell ref="I28:K28"/>
    <mergeCell ref="L28:N28"/>
    <mergeCell ref="O28:Q28"/>
    <mergeCell ref="R28:T28"/>
    <mergeCell ref="U28:AK28"/>
    <mergeCell ref="F27:H27"/>
    <mergeCell ref="C27:D27"/>
    <mergeCell ref="I27:K27"/>
    <mergeCell ref="L27:N27"/>
    <mergeCell ref="O27:Q27"/>
    <mergeCell ref="R29:T29"/>
    <mergeCell ref="U29:AK29"/>
    <mergeCell ref="F30:H30"/>
    <mergeCell ref="C30:D30"/>
    <mergeCell ref="I30:K30"/>
    <mergeCell ref="L30:N30"/>
    <mergeCell ref="O30:Q30"/>
    <mergeCell ref="R30:T30"/>
    <mergeCell ref="U30:AK30"/>
    <mergeCell ref="F29:H29"/>
    <mergeCell ref="C29:D29"/>
    <mergeCell ref="I29:K29"/>
    <mergeCell ref="L29:N29"/>
    <mergeCell ref="O29:Q29"/>
    <mergeCell ref="R31:T31"/>
    <mergeCell ref="U31:AK31"/>
    <mergeCell ref="F32:H32"/>
    <mergeCell ref="C32:D32"/>
    <mergeCell ref="I32:K32"/>
    <mergeCell ref="L32:N32"/>
    <mergeCell ref="O32:Q32"/>
    <mergeCell ref="R32:T32"/>
    <mergeCell ref="U32:AK32"/>
    <mergeCell ref="F31:H31"/>
    <mergeCell ref="C31:D31"/>
    <mergeCell ref="I31:K31"/>
    <mergeCell ref="L31:N31"/>
    <mergeCell ref="O31:Q31"/>
    <mergeCell ref="R33:T33"/>
    <mergeCell ref="U33:AK33"/>
    <mergeCell ref="F34:H34"/>
    <mergeCell ref="C34:D34"/>
    <mergeCell ref="I34:K34"/>
    <mergeCell ref="L34:N34"/>
    <mergeCell ref="O34:Q34"/>
    <mergeCell ref="R34:T34"/>
    <mergeCell ref="U34:AK34"/>
    <mergeCell ref="F33:H33"/>
    <mergeCell ref="C33:D33"/>
    <mergeCell ref="I33:K33"/>
    <mergeCell ref="L33:N33"/>
    <mergeCell ref="O33:Q33"/>
    <mergeCell ref="R35:T35"/>
    <mergeCell ref="U35:AK35"/>
    <mergeCell ref="F36:H36"/>
    <mergeCell ref="C36:D36"/>
    <mergeCell ref="I36:K36"/>
    <mergeCell ref="L36:N36"/>
    <mergeCell ref="O36:Q36"/>
    <mergeCell ref="R36:T36"/>
    <mergeCell ref="U36:AK36"/>
    <mergeCell ref="F35:H35"/>
    <mergeCell ref="C35:D35"/>
    <mergeCell ref="I35:K35"/>
    <mergeCell ref="L35:N35"/>
    <mergeCell ref="O35:Q35"/>
    <mergeCell ref="R37:T37"/>
    <mergeCell ref="U37:AK37"/>
    <mergeCell ref="F38:H38"/>
    <mergeCell ref="C38:D38"/>
    <mergeCell ref="I38:K38"/>
    <mergeCell ref="L38:N38"/>
    <mergeCell ref="O38:Q38"/>
    <mergeCell ref="R38:T38"/>
    <mergeCell ref="U38:AK38"/>
    <mergeCell ref="F37:H37"/>
    <mergeCell ref="C37:D37"/>
    <mergeCell ref="I37:K37"/>
    <mergeCell ref="L37:N37"/>
    <mergeCell ref="O37:Q37"/>
    <mergeCell ref="R39:T39"/>
    <mergeCell ref="U39:AK39"/>
    <mergeCell ref="F40:H40"/>
    <mergeCell ref="C40:D40"/>
    <mergeCell ref="I40:K40"/>
    <mergeCell ref="L40:N40"/>
    <mergeCell ref="O40:Q40"/>
    <mergeCell ref="R40:T40"/>
    <mergeCell ref="U40:AK40"/>
    <mergeCell ref="F39:H39"/>
    <mergeCell ref="C39:D39"/>
    <mergeCell ref="I39:K39"/>
    <mergeCell ref="L39:N39"/>
    <mergeCell ref="O39:Q39"/>
    <mergeCell ref="R41:T41"/>
    <mergeCell ref="U41:AK41"/>
    <mergeCell ref="F42:H42"/>
    <mergeCell ref="C42:D42"/>
    <mergeCell ref="I42:K42"/>
    <mergeCell ref="L42:N42"/>
    <mergeCell ref="O42:Q42"/>
    <mergeCell ref="R42:T42"/>
    <mergeCell ref="U42:AK42"/>
    <mergeCell ref="F41:H41"/>
    <mergeCell ref="C41:D41"/>
    <mergeCell ref="I41:K41"/>
    <mergeCell ref="L41:N41"/>
    <mergeCell ref="O41:Q41"/>
    <mergeCell ref="R43:T43"/>
    <mergeCell ref="U43:AK43"/>
    <mergeCell ref="F44:H44"/>
    <mergeCell ref="C44:D44"/>
    <mergeCell ref="I44:K44"/>
    <mergeCell ref="L44:N44"/>
    <mergeCell ref="O44:Q44"/>
    <mergeCell ref="R44:T44"/>
    <mergeCell ref="U44:AK44"/>
    <mergeCell ref="F43:H43"/>
    <mergeCell ref="C43:D43"/>
    <mergeCell ref="I43:K43"/>
    <mergeCell ref="L43:N43"/>
    <mergeCell ref="O43:Q43"/>
    <mergeCell ref="F47:H47"/>
    <mergeCell ref="C47:D47"/>
    <mergeCell ref="I47:K47"/>
    <mergeCell ref="L47:N47"/>
    <mergeCell ref="O47:Q47"/>
    <mergeCell ref="R45:T45"/>
    <mergeCell ref="U45:AK45"/>
    <mergeCell ref="F46:H46"/>
    <mergeCell ref="C46:D46"/>
    <mergeCell ref="I46:K46"/>
    <mergeCell ref="L46:N46"/>
    <mergeCell ref="O46:Q46"/>
    <mergeCell ref="R46:T46"/>
    <mergeCell ref="U46:AK46"/>
    <mergeCell ref="F45:H45"/>
    <mergeCell ref="C45:D45"/>
    <mergeCell ref="I45:K45"/>
    <mergeCell ref="L45:N45"/>
    <mergeCell ref="O45:Q45"/>
    <mergeCell ref="AH52:AK52"/>
    <mergeCell ref="Z51:AK51"/>
    <mergeCell ref="L7:M7"/>
    <mergeCell ref="B13:G13"/>
    <mergeCell ref="B11:G11"/>
    <mergeCell ref="B9:G9"/>
    <mergeCell ref="B7:G7"/>
    <mergeCell ref="H9:N9"/>
    <mergeCell ref="H7:J7"/>
    <mergeCell ref="H11:K11"/>
    <mergeCell ref="AA9:AD9"/>
    <mergeCell ref="AE9:AK9"/>
    <mergeCell ref="T9:Y9"/>
    <mergeCell ref="P9:S9"/>
    <mergeCell ref="R47:T47"/>
    <mergeCell ref="U47:AK47"/>
    <mergeCell ref="F48:H48"/>
    <mergeCell ref="C48:D48"/>
    <mergeCell ref="I48:K48"/>
    <mergeCell ref="L48:N48"/>
    <mergeCell ref="O48:Q48"/>
    <mergeCell ref="B15:G15"/>
    <mergeCell ref="R48:T48"/>
    <mergeCell ref="U48:AK48"/>
  </mergeCells>
  <phoneticPr fontId="7"/>
  <dataValidations count="2">
    <dataValidation allowBlank="1" sqref="F18:H48"/>
    <dataValidation type="list" allowBlank="1" showInputMessage="1" showErrorMessage="1" sqref="E18:E48">
      <formula1>$AL$18:$AL$30</formula1>
    </dataValidation>
  </dataValidations>
  <pageMargins left="0.51181102362204722" right="0.31496062992125984" top="0.43" bottom="0.35433070866141736" header="0.31496062992125984" footer="0.31496062992125984"/>
  <pageSetup paperSize="9" scale="99" orientation="portrait" r:id="rId1"/>
  <colBreaks count="1" manualBreakCount="1">
    <brk id="3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7C02AF31ACCD43B9700E40E7FDB90C" ma:contentTypeVersion="0" ma:contentTypeDescription="新しいドキュメントを作成します。" ma:contentTypeScope="" ma:versionID="24730ef6eba827a1f068770a7e8d0ec3">
  <xsd:schema xmlns:xsd="http://www.w3.org/2001/XMLSchema" xmlns:p="http://schemas.microsoft.com/office/2006/metadata/properties" targetNamespace="http://schemas.microsoft.com/office/2006/metadata/properties" ma:root="true" ma:fieldsID="f4cff559f9a06213828a8956bc5bb22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 ma:readOnly="true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749B1C65-898F-46E6-B590-36B2714E0CD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9D9F80-C657-4768-B043-4DD8475AB2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18C22A-070D-427D-817A-197CB61CE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エクセル勤怠</vt:lpstr>
      <vt:lpstr>エクセル勤怠!Print_Area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雄一</dc:creator>
  <cp:lastModifiedBy>豊重 正一</cp:lastModifiedBy>
  <cp:lastPrinted>2020-03-24T01:37:16Z</cp:lastPrinted>
  <dcterms:created xsi:type="dcterms:W3CDTF">2010-10-08T05:24:50Z</dcterms:created>
  <dcterms:modified xsi:type="dcterms:W3CDTF">2020-06-30T10:31:58Z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</Properties>
</file>